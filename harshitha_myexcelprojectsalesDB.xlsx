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Kadar\OneDrive\Desktop\"/>
    </mc:Choice>
  </mc:AlternateContent>
  <xr:revisionPtr revIDLastSave="0" documentId="13_ncr:1_{F72DAB19-C27A-4551-9444-96AF16687DD7}" xr6:coauthVersionLast="47" xr6:coauthVersionMax="47" xr10:uidLastSave="{00000000-0000-0000-0000-000000000000}"/>
  <bookViews>
    <workbookView xWindow="-120" yWindow="-120" windowWidth="29040" windowHeight="15720" activeTab="3" xr2:uid="{0041B092-A0A2-465B-87AB-45F1041E83FF}"/>
  </bookViews>
  <sheets>
    <sheet name="pivot table" sheetId="2" r:id="rId1"/>
    <sheet name="DASHBOARD" sheetId="5" r:id="rId2"/>
    <sheet name="Table3" sheetId="4" r:id="rId3"/>
    <sheet name="Sheet1" sheetId="1" r:id="rId4"/>
  </sheets>
  <definedNames>
    <definedName name="ExternalData_1" localSheetId="2" hidden="1">Table3!$A$1:$I$30</definedName>
    <definedName name="Slicer_REGION">#N/A</definedName>
    <definedName name="Slicer_SALES_PERS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9" i="1" l="1"/>
  <c r="L9" i="1"/>
  <c r="L8" i="1"/>
  <c r="L7" i="1"/>
  <c r="O6" i="1"/>
  <c r="L6" i="1"/>
  <c r="L5" i="1"/>
  <c r="L4" i="1"/>
  <c r="N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I30" i="1"/>
  <c r="I29" i="1"/>
  <c r="I28" i="1"/>
  <c r="I27" i="1"/>
  <c r="I26" i="1"/>
  <c r="I25" i="1"/>
  <c r="I18" i="1"/>
  <c r="I3" i="1"/>
  <c r="I4" i="1"/>
  <c r="I5" i="1"/>
  <c r="I6" i="1"/>
  <c r="I7" i="1"/>
  <c r="I8" i="1"/>
  <c r="I9" i="1"/>
  <c r="I10" i="1"/>
  <c r="I11" i="1"/>
  <c r="I12" i="1"/>
  <c r="I13" i="1"/>
  <c r="I14" i="1"/>
  <c r="I15" i="1"/>
  <c r="I16" i="1"/>
  <c r="I17" i="1"/>
  <c r="I19" i="1"/>
  <c r="I20" i="1"/>
  <c r="I21" i="1"/>
  <c r="I22" i="1"/>
  <c r="I23" i="1"/>
  <c r="I24"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1A60C8-F8D5-4EF7-ADA1-391ADC4801F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<sst xmlns="http://schemas.openxmlformats.org/spreadsheetml/2006/main" count="241" uniqueCount="57">
  <si>
    <t>DATE</t>
  </si>
  <si>
    <t>SALES PERSON</t>
  </si>
  <si>
    <t>Andrew</t>
  </si>
  <si>
    <t>Grace</t>
  </si>
  <si>
    <t>Ella</t>
  </si>
  <si>
    <t>Cameron</t>
  </si>
  <si>
    <t>Megan</t>
  </si>
  <si>
    <t>Caroline</t>
  </si>
  <si>
    <t>Virginea</t>
  </si>
  <si>
    <t>Canar</t>
  </si>
  <si>
    <t>Anna</t>
  </si>
  <si>
    <t>Nicoles</t>
  </si>
  <si>
    <t>Andrews</t>
  </si>
  <si>
    <t>REGION</t>
  </si>
  <si>
    <t>West</t>
  </si>
  <si>
    <t>East</t>
  </si>
  <si>
    <t>South</t>
  </si>
  <si>
    <t>North</t>
  </si>
  <si>
    <t>PRODUCT</t>
  </si>
  <si>
    <t>Tent</t>
  </si>
  <si>
    <t>Blender</t>
  </si>
  <si>
    <t>Action figure</t>
  </si>
  <si>
    <t>Novel</t>
  </si>
  <si>
    <t>Sneakers</t>
  </si>
  <si>
    <t>Moisturizer</t>
  </si>
  <si>
    <t>Sneekers</t>
  </si>
  <si>
    <t>Smart phone</t>
  </si>
  <si>
    <t>UNIT SOLD</t>
  </si>
  <si>
    <t>UNIT PRICE</t>
  </si>
  <si>
    <t>COST OF GOODS</t>
  </si>
  <si>
    <t>TOTAL SALES</t>
  </si>
  <si>
    <t>PROFIT</t>
  </si>
  <si>
    <t>Row Labels</t>
  </si>
  <si>
    <t>Grand Total</t>
  </si>
  <si>
    <t>Sum of TOTAL SALES</t>
  </si>
  <si>
    <t>WEST</t>
  </si>
  <si>
    <t>EAST</t>
  </si>
  <si>
    <t>SOUTH</t>
  </si>
  <si>
    <t>NORTH</t>
  </si>
  <si>
    <t>Profit/Loss</t>
  </si>
  <si>
    <t>Total Sales</t>
  </si>
  <si>
    <t>Sum of PROFIT</t>
  </si>
  <si>
    <t>Average of TOTAL SALES</t>
  </si>
  <si>
    <t>Loss</t>
  </si>
  <si>
    <t>Profit</t>
  </si>
  <si>
    <t>Count of UNIT SOLD</t>
  </si>
  <si>
    <t>SALES DASHBOARD</t>
  </si>
  <si>
    <t xml:space="preserve">TOTAL SALES </t>
  </si>
  <si>
    <t>DATA EXPLORATION</t>
  </si>
  <si>
    <t>MEAN</t>
  </si>
  <si>
    <t>MEDIAN</t>
  </si>
  <si>
    <t>MINIMUM</t>
  </si>
  <si>
    <t>MAXIMUM</t>
  </si>
  <si>
    <t>STANDARD DEVIATION</t>
  </si>
  <si>
    <t>MODE.MUL</t>
  </si>
  <si>
    <t>MODE.SIN</t>
  </si>
  <si>
    <t>STD.S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</si>
</sst>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36"/>
      <color theme="1"/>
      <name val="Times New Roman"/>
      <family val="1"/>
    </font>
    <font>
      <sz val="36"/>
      <color theme="1"/>
      <name val="Calibri"/>
      <family val="2"/>
      <scheme val="minor"/>
    </font>
    <font>
      <b/>
      <sz val="16"/>
      <color theme="1"/>
      <name val="Calibri"/>
      <family val="2"/>
      <scheme val="minor"/>
    </font>
    <font>
      <b/>
      <sz val="14"/>
      <color theme="1"/>
      <name val="Times New Roman"/>
      <family val="1"/>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4" fontId="0" fillId="0" borderId="0" xfId="0" applyNumberFormat="1"/>
    <xf numFmtId="0" fontId="2" fillId="0" borderId="0" xfId="0" applyFont="1"/>
    <xf numFmtId="164" fontId="2" fillId="0" borderId="0" xfId="0" applyNumberFormat="1" applyFont="1"/>
    <xf numFmtId="44" fontId="0" fillId="0" borderId="0" xfId="1" applyFont="1"/>
    <xf numFmtId="44" fontId="2" fillId="0" borderId="0" xfId="1" applyFont="1"/>
    <xf numFmtId="0" fontId="0" fillId="0" borderId="0" xfId="1" applyNumberFormat="1" applyFont="1"/>
    <xf numFmtId="4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xf numFmtId="0" fontId="0" fillId="2" borderId="0" xfId="0"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2" fontId="0" fillId="0" borderId="0" xfId="0" applyNumberFormat="1"/>
    <xf numFmtId="0" fontId="5" fillId="2" borderId="0" xfId="0" applyFont="1" applyFill="1"/>
    <xf numFmtId="0" fontId="6" fillId="2" borderId="0" xfId="0" applyFont="1" applyFill="1"/>
    <xf numFmtId="44" fontId="7" fillId="0" borderId="0" xfId="1" applyFont="1"/>
    <xf numFmtId="0" fontId="7" fillId="0" borderId="0" xfId="0" applyFont="1"/>
    <xf numFmtId="44" fontId="7" fillId="0" borderId="0" xfId="0" applyNumberFormat="1" applyFont="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family val="2"/>
        <scheme val="minor"/>
      </font>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 AND</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9E-2"/>
          <c:y val="0.19209499854184894"/>
          <c:w val="0.80350481189851264"/>
          <c:h val="0.72088764946048411"/>
        </c:manualLayout>
      </c:layout>
      <c:barChart>
        <c:barDir val="col"/>
        <c:grouping val="clustered"/>
        <c:varyColors val="0"/>
        <c:ser>
          <c:idx val="0"/>
          <c:order val="0"/>
          <c:tx>
            <c:strRef>
              <c:f>'pivot table'!$I$2</c:f>
              <c:strCache>
                <c:ptCount val="1"/>
                <c:pt idx="0">
                  <c:v>Count of UNIT SOLD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table'!$H$3:$H$7</c:f>
              <c:strCache>
                <c:ptCount val="4"/>
                <c:pt idx="0">
                  <c:v>EAST</c:v>
                </c:pt>
                <c:pt idx="1">
                  <c:v>NORTH</c:v>
                </c:pt>
                <c:pt idx="2">
                  <c:v>SOUTH</c:v>
                </c:pt>
                <c:pt idx="3">
                  <c:v>WEST</c:v>
                </c:pt>
              </c:strCache>
            </c:strRef>
          </c:cat>
          <c:val>
            <c:numRef>
              <c:f>'pivot table'!$I$3:$I$7</c:f>
              <c:numCache>
                <c:formatCode>General</c:formatCode>
                <c:ptCount val="4"/>
                <c:pt idx="0">
                  <c:v>8</c:v>
                </c:pt>
                <c:pt idx="1">
                  <c:v>5</c:v>
                </c:pt>
                <c:pt idx="2">
                  <c:v>9</c:v>
                </c:pt>
                <c:pt idx="3">
                  <c:v>7</c:v>
                </c:pt>
              </c:numCache>
            </c:numRef>
          </c:val>
          <c:extLst>
            <c:ext xmlns:c16="http://schemas.microsoft.com/office/drawing/2014/chart" uri="{C3380CC4-5D6E-409C-BE32-E72D297353CC}">
              <c16:uniqueId val="{00000000-AEF0-49D6-B38A-DA131AC4A2A4}"/>
            </c:ext>
          </c:extLst>
        </c:ser>
        <c:dLbls>
          <c:showLegendKey val="0"/>
          <c:showVal val="0"/>
          <c:showCatName val="0"/>
          <c:showSerName val="0"/>
          <c:showPercent val="0"/>
          <c:showBubbleSize val="0"/>
        </c:dLbls>
        <c:gapWidth val="219"/>
        <c:axId val="1031897920"/>
        <c:axId val="1031896480"/>
      </c:barChart>
      <c:lineChart>
        <c:grouping val="stacked"/>
        <c:varyColors val="0"/>
        <c:ser>
          <c:idx val="1"/>
          <c:order val="1"/>
          <c:tx>
            <c:strRef>
              <c:f>'pivot table'!$J$2</c:f>
              <c:strCache>
                <c:ptCount val="1"/>
                <c:pt idx="0">
                  <c:v>Sum of 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table'!$H$3:$H$7</c:f>
              <c:strCache>
                <c:ptCount val="4"/>
                <c:pt idx="0">
                  <c:v>EAST</c:v>
                </c:pt>
                <c:pt idx="1">
                  <c:v>NORTH</c:v>
                </c:pt>
                <c:pt idx="2">
                  <c:v>SOUTH</c:v>
                </c:pt>
                <c:pt idx="3">
                  <c:v>WEST</c:v>
                </c:pt>
              </c:strCache>
            </c:strRef>
          </c:cat>
          <c:val>
            <c:numRef>
              <c:f>'pivot table'!$J$3:$J$7</c:f>
              <c:numCache>
                <c:formatCode>General</c:formatCode>
                <c:ptCount val="4"/>
                <c:pt idx="0">
                  <c:v>3154600</c:v>
                </c:pt>
                <c:pt idx="1">
                  <c:v>1901000</c:v>
                </c:pt>
                <c:pt idx="2">
                  <c:v>6525600</c:v>
                </c:pt>
                <c:pt idx="3">
                  <c:v>3202600</c:v>
                </c:pt>
              </c:numCache>
            </c:numRef>
          </c:val>
          <c:smooth val="0"/>
          <c:extLst>
            <c:ext xmlns:c16="http://schemas.microsoft.com/office/drawing/2014/chart" uri="{C3380CC4-5D6E-409C-BE32-E72D297353CC}">
              <c16:uniqueId val="{00000001-AEF0-49D6-B38A-DA131AC4A2A4}"/>
            </c:ext>
          </c:extLst>
        </c:ser>
        <c:dLbls>
          <c:showLegendKey val="0"/>
          <c:showVal val="0"/>
          <c:showCatName val="0"/>
          <c:showSerName val="0"/>
          <c:showPercent val="0"/>
          <c:showBubbleSize val="0"/>
        </c:dLbls>
        <c:marker val="1"/>
        <c:smooth val="0"/>
        <c:axId val="1031902960"/>
        <c:axId val="1031902600"/>
      </c:lineChart>
      <c:catAx>
        <c:axId val="103189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96480"/>
        <c:crosses val="autoZero"/>
        <c:auto val="1"/>
        <c:lblAlgn val="ctr"/>
        <c:lblOffset val="100"/>
        <c:noMultiLvlLbl val="0"/>
      </c:catAx>
      <c:valAx>
        <c:axId val="103189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u="none"/>
                  <a:t>UNIT</a:t>
                </a:r>
                <a:r>
                  <a:rPr lang="en-IN" u="none" baseline="0"/>
                  <a:t> SOLD</a:t>
                </a:r>
                <a:endParaRPr lang="en-IN" u="none"/>
              </a:p>
            </c:rich>
          </c:tx>
          <c:layout>
            <c:manualLayout>
              <c:xMode val="edge"/>
              <c:yMode val="edge"/>
              <c:x val="5.7001239157372985E-2"/>
              <c:y val="0.460050179677953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97920"/>
        <c:crosses val="autoZero"/>
        <c:crossBetween val="between"/>
      </c:valAx>
      <c:valAx>
        <c:axId val="10319026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02960"/>
        <c:crosses val="max"/>
        <c:crossBetween val="between"/>
      </c:valAx>
      <c:catAx>
        <c:axId val="1031902960"/>
        <c:scaling>
          <c:orientation val="minMax"/>
        </c:scaling>
        <c:delete val="1"/>
        <c:axPos val="t"/>
        <c:numFmt formatCode="General" sourceLinked="1"/>
        <c:majorTickMark val="out"/>
        <c:minorTickMark val="none"/>
        <c:tickLblPos val="nextTo"/>
        <c:crossAx val="10319026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BC-4640-96B5-E786412B7BA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BC-4640-96B5-E786412B7BA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BC-4640-96B5-E786412B7BA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5BC-4640-96B5-E786412B7BA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BC-4640-96B5-E786412B7BA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5BC-4640-96B5-E786412B7BA1}"/>
              </c:ext>
            </c:extLst>
          </c:dPt>
          <c:cat>
            <c:strRef>
              <c:f>'pivot table'!$H$14:$H$20</c:f>
              <c:strCache>
                <c:ptCount val="6"/>
                <c:pt idx="0">
                  <c:v>Blender</c:v>
                </c:pt>
                <c:pt idx="1">
                  <c:v>Moisturizer</c:v>
                </c:pt>
                <c:pt idx="2">
                  <c:v>Smart phone</c:v>
                </c:pt>
                <c:pt idx="3">
                  <c:v>Sneakers</c:v>
                </c:pt>
                <c:pt idx="4">
                  <c:v>Sneekers</c:v>
                </c:pt>
                <c:pt idx="5">
                  <c:v>Tent</c:v>
                </c:pt>
              </c:strCache>
            </c:strRef>
          </c:cat>
          <c:val>
            <c:numRef>
              <c:f>'pivot table'!$I$14:$I$20</c:f>
              <c:numCache>
                <c:formatCode>General</c:formatCode>
                <c:ptCount val="6"/>
                <c:pt idx="0">
                  <c:v>350000</c:v>
                </c:pt>
                <c:pt idx="1">
                  <c:v>799100</c:v>
                </c:pt>
                <c:pt idx="2">
                  <c:v>1080000</c:v>
                </c:pt>
                <c:pt idx="3">
                  <c:v>440000</c:v>
                </c:pt>
                <c:pt idx="4">
                  <c:v>485000</c:v>
                </c:pt>
                <c:pt idx="5">
                  <c:v>684542.85714285716</c:v>
                </c:pt>
              </c:numCache>
            </c:numRef>
          </c:val>
          <c:extLst>
            <c:ext xmlns:c16="http://schemas.microsoft.com/office/drawing/2014/chart" uri="{C3380CC4-5D6E-409C-BE32-E72D297353CC}">
              <c16:uniqueId val="{00000000-F85C-460E-BA16-F288F5C68CB8}"/>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048140857392822"/>
          <c:y val="0.15558836395450568"/>
          <c:w val="0.18745862780515465"/>
          <c:h val="0.66502928513246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VS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table'!$O$14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table'!$N$15:$N$26</c:f>
              <c:strCache>
                <c:ptCount val="11"/>
                <c:pt idx="0">
                  <c:v>Andrew</c:v>
                </c:pt>
                <c:pt idx="1">
                  <c:v>Andrews</c:v>
                </c:pt>
                <c:pt idx="2">
                  <c:v>Anna</c:v>
                </c:pt>
                <c:pt idx="3">
                  <c:v>Cameron</c:v>
                </c:pt>
                <c:pt idx="4">
                  <c:v>Canar</c:v>
                </c:pt>
                <c:pt idx="5">
                  <c:v>Caroline</c:v>
                </c:pt>
                <c:pt idx="6">
                  <c:v>Ella</c:v>
                </c:pt>
                <c:pt idx="7">
                  <c:v>Grace</c:v>
                </c:pt>
                <c:pt idx="8">
                  <c:v>Megan</c:v>
                </c:pt>
                <c:pt idx="9">
                  <c:v>Nicoles</c:v>
                </c:pt>
                <c:pt idx="10">
                  <c:v>Virginea</c:v>
                </c:pt>
              </c:strCache>
            </c:strRef>
          </c:cat>
          <c:val>
            <c:numRef>
              <c:f>'pivot table'!$O$15:$O$26</c:f>
              <c:numCache>
                <c:formatCode>0.00</c:formatCode>
                <c:ptCount val="11"/>
                <c:pt idx="0">
                  <c:v>209200</c:v>
                </c:pt>
                <c:pt idx="1">
                  <c:v>4466800</c:v>
                </c:pt>
                <c:pt idx="2">
                  <c:v>72200</c:v>
                </c:pt>
                <c:pt idx="3">
                  <c:v>103300</c:v>
                </c:pt>
                <c:pt idx="4">
                  <c:v>2007800</c:v>
                </c:pt>
                <c:pt idx="5">
                  <c:v>344400</c:v>
                </c:pt>
                <c:pt idx="6">
                  <c:v>340800</c:v>
                </c:pt>
                <c:pt idx="7">
                  <c:v>273000</c:v>
                </c:pt>
                <c:pt idx="8">
                  <c:v>174100</c:v>
                </c:pt>
                <c:pt idx="9">
                  <c:v>167800</c:v>
                </c:pt>
                <c:pt idx="10">
                  <c:v>23400</c:v>
                </c:pt>
              </c:numCache>
            </c:numRef>
          </c:val>
          <c:shape val="pyramidToMax"/>
          <c:extLst>
            <c:ext xmlns:c16="http://schemas.microsoft.com/office/drawing/2014/chart" uri="{C3380CC4-5D6E-409C-BE32-E72D297353CC}">
              <c16:uniqueId val="{00000000-6BA4-4578-A450-BE5FEDE9D0B3}"/>
            </c:ext>
          </c:extLst>
        </c:ser>
        <c:dLbls>
          <c:showLegendKey val="0"/>
          <c:showVal val="1"/>
          <c:showCatName val="0"/>
          <c:showSerName val="0"/>
          <c:showPercent val="0"/>
          <c:showBubbleSize val="0"/>
        </c:dLbls>
        <c:gapWidth val="76"/>
        <c:gapDepth val="132"/>
        <c:shape val="box"/>
        <c:axId val="1031889280"/>
        <c:axId val="1031888200"/>
        <c:axId val="0"/>
      </c:bar3DChart>
      <c:catAx>
        <c:axId val="10318892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1888200"/>
        <c:crosses val="autoZero"/>
        <c:auto val="1"/>
        <c:lblAlgn val="ctr"/>
        <c:lblOffset val="100"/>
        <c:noMultiLvlLbl val="0"/>
      </c:catAx>
      <c:valAx>
        <c:axId val="1031888200"/>
        <c:scaling>
          <c:orientation val="minMax"/>
        </c:scaling>
        <c:delete val="1"/>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103188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Loss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45603674540682"/>
          <c:y val="0.37800488480606592"/>
          <c:w val="0.7559142607174103"/>
          <c:h val="0.53774387576552929"/>
        </c:manualLayout>
      </c:layout>
      <c:bar3DChart>
        <c:barDir val="col"/>
        <c:grouping val="percentStacked"/>
        <c:varyColors val="0"/>
        <c:ser>
          <c:idx val="0"/>
          <c:order val="0"/>
          <c:tx>
            <c:strRef>
              <c:f>'pivot table'!$O$4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table'!$N$5:$N$7</c:f>
              <c:strCache>
                <c:ptCount val="2"/>
                <c:pt idx="0">
                  <c:v>Loss</c:v>
                </c:pt>
                <c:pt idx="1">
                  <c:v>Profit</c:v>
                </c:pt>
              </c:strCache>
            </c:strRef>
          </c:cat>
          <c:val>
            <c:numRef>
              <c:f>'pivot table'!$O$5:$O$7</c:f>
              <c:numCache>
                <c:formatCode>General</c:formatCode>
                <c:ptCount val="2"/>
                <c:pt idx="0">
                  <c:v>218600</c:v>
                </c:pt>
                <c:pt idx="1">
                  <c:v>7964200</c:v>
                </c:pt>
              </c:numCache>
            </c:numRef>
          </c:val>
          <c:extLst>
            <c:ext xmlns:c16="http://schemas.microsoft.com/office/drawing/2014/chart" uri="{C3380CC4-5D6E-409C-BE32-E72D297353CC}">
              <c16:uniqueId val="{00000000-34AF-4464-9367-C0B5543058ED}"/>
            </c:ext>
          </c:extLst>
        </c:ser>
        <c:dLbls>
          <c:showLegendKey val="0"/>
          <c:showVal val="1"/>
          <c:showCatName val="0"/>
          <c:showSerName val="0"/>
          <c:showPercent val="0"/>
          <c:showBubbleSize val="0"/>
        </c:dLbls>
        <c:gapWidth val="150"/>
        <c:shape val="box"/>
        <c:axId val="1031903320"/>
        <c:axId val="1031904760"/>
        <c:axId val="0"/>
      </c:bar3DChart>
      <c:catAx>
        <c:axId val="1031903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04760"/>
        <c:crosses val="autoZero"/>
        <c:auto val="1"/>
        <c:lblAlgn val="ctr"/>
        <c:lblOffset val="100"/>
        <c:noMultiLvlLbl val="0"/>
      </c:catAx>
      <c:valAx>
        <c:axId val="1031904760"/>
        <c:scaling>
          <c:orientation val="minMax"/>
        </c:scaling>
        <c:delete val="1"/>
        <c:axPos val="l"/>
        <c:numFmt formatCode="0%" sourceLinked="1"/>
        <c:majorTickMark val="out"/>
        <c:minorTickMark val="none"/>
        <c:tickLblPos val="nextTo"/>
        <c:crossAx val="1031903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 AND</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c:f>
              <c:strCache>
                <c:ptCount val="1"/>
                <c:pt idx="0">
                  <c:v>Count of UNIT SOLD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table'!$H$3:$H$7</c:f>
              <c:strCache>
                <c:ptCount val="4"/>
                <c:pt idx="0">
                  <c:v>EAST</c:v>
                </c:pt>
                <c:pt idx="1">
                  <c:v>NORTH</c:v>
                </c:pt>
                <c:pt idx="2">
                  <c:v>SOUTH</c:v>
                </c:pt>
                <c:pt idx="3">
                  <c:v>WEST</c:v>
                </c:pt>
              </c:strCache>
            </c:strRef>
          </c:cat>
          <c:val>
            <c:numRef>
              <c:f>'pivot table'!$I$3:$I$7</c:f>
              <c:numCache>
                <c:formatCode>General</c:formatCode>
                <c:ptCount val="4"/>
                <c:pt idx="0">
                  <c:v>8</c:v>
                </c:pt>
                <c:pt idx="1">
                  <c:v>5</c:v>
                </c:pt>
                <c:pt idx="2">
                  <c:v>9</c:v>
                </c:pt>
                <c:pt idx="3">
                  <c:v>7</c:v>
                </c:pt>
              </c:numCache>
            </c:numRef>
          </c:val>
          <c:extLst>
            <c:ext xmlns:c16="http://schemas.microsoft.com/office/drawing/2014/chart" uri="{C3380CC4-5D6E-409C-BE32-E72D297353CC}">
              <c16:uniqueId val="{00000001-7D59-4107-A16D-AC2FE993203E}"/>
            </c:ext>
          </c:extLst>
        </c:ser>
        <c:dLbls>
          <c:showLegendKey val="0"/>
          <c:showVal val="0"/>
          <c:showCatName val="0"/>
          <c:showSerName val="0"/>
          <c:showPercent val="0"/>
          <c:showBubbleSize val="0"/>
        </c:dLbls>
        <c:gapWidth val="219"/>
        <c:axId val="1031897920"/>
        <c:axId val="1031896480"/>
      </c:barChart>
      <c:lineChart>
        <c:grouping val="stacked"/>
        <c:varyColors val="0"/>
        <c:ser>
          <c:idx val="1"/>
          <c:order val="1"/>
          <c:tx>
            <c:strRef>
              <c:f>'pivot table'!$J$2</c:f>
              <c:strCache>
                <c:ptCount val="1"/>
                <c:pt idx="0">
                  <c:v>Sum of 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table'!$H$3:$H$7</c:f>
              <c:strCache>
                <c:ptCount val="4"/>
                <c:pt idx="0">
                  <c:v>EAST</c:v>
                </c:pt>
                <c:pt idx="1">
                  <c:v>NORTH</c:v>
                </c:pt>
                <c:pt idx="2">
                  <c:v>SOUTH</c:v>
                </c:pt>
                <c:pt idx="3">
                  <c:v>WEST</c:v>
                </c:pt>
              </c:strCache>
            </c:strRef>
          </c:cat>
          <c:val>
            <c:numRef>
              <c:f>'pivot table'!$J$3:$J$7</c:f>
              <c:numCache>
                <c:formatCode>General</c:formatCode>
                <c:ptCount val="4"/>
                <c:pt idx="0">
                  <c:v>3154600</c:v>
                </c:pt>
                <c:pt idx="1">
                  <c:v>1901000</c:v>
                </c:pt>
                <c:pt idx="2">
                  <c:v>6525600</c:v>
                </c:pt>
                <c:pt idx="3">
                  <c:v>3202600</c:v>
                </c:pt>
              </c:numCache>
            </c:numRef>
          </c:val>
          <c:smooth val="0"/>
          <c:extLst>
            <c:ext xmlns:c16="http://schemas.microsoft.com/office/drawing/2014/chart" uri="{C3380CC4-5D6E-409C-BE32-E72D297353CC}">
              <c16:uniqueId val="{00000002-7D59-4107-A16D-AC2FE993203E}"/>
            </c:ext>
          </c:extLst>
        </c:ser>
        <c:dLbls>
          <c:showLegendKey val="0"/>
          <c:showVal val="0"/>
          <c:showCatName val="0"/>
          <c:showSerName val="0"/>
          <c:showPercent val="0"/>
          <c:showBubbleSize val="0"/>
        </c:dLbls>
        <c:marker val="1"/>
        <c:smooth val="0"/>
        <c:axId val="1031902960"/>
        <c:axId val="1031902600"/>
      </c:lineChart>
      <c:catAx>
        <c:axId val="1031897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96480"/>
        <c:crosses val="autoZero"/>
        <c:auto val="1"/>
        <c:lblAlgn val="ctr"/>
        <c:lblOffset val="100"/>
        <c:noMultiLvlLbl val="0"/>
      </c:catAx>
      <c:valAx>
        <c:axId val="1031896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97920"/>
        <c:crosses val="autoZero"/>
        <c:crossBetween val="between"/>
      </c:valAx>
      <c:valAx>
        <c:axId val="1031902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02960"/>
        <c:crosses val="max"/>
        <c:crossBetween val="between"/>
      </c:valAx>
      <c:catAx>
        <c:axId val="1031902960"/>
        <c:scaling>
          <c:orientation val="minMax"/>
        </c:scaling>
        <c:delete val="1"/>
        <c:axPos val="t"/>
        <c:numFmt formatCode="General" sourceLinked="1"/>
        <c:majorTickMark val="out"/>
        <c:minorTickMark val="none"/>
        <c:tickLblPos val="nextTo"/>
        <c:crossAx val="10319026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33-4EED-811D-7F8D7B6D31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33-4EED-811D-7F8D7B6D31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33-4EED-811D-7F8D7B6D31A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933-4EED-811D-7F8D7B6D31A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933-4EED-811D-7F8D7B6D31A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933-4EED-811D-7F8D7B6D31A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933-4EED-811D-7F8D7B6D31A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933-4EED-811D-7F8D7B6D31AC}"/>
              </c:ext>
            </c:extLst>
          </c:dPt>
          <c:cat>
            <c:strRef>
              <c:f>'pivot table'!$H$14:$H$20</c:f>
              <c:strCache>
                <c:ptCount val="6"/>
                <c:pt idx="0">
                  <c:v>Blender</c:v>
                </c:pt>
                <c:pt idx="1">
                  <c:v>Moisturizer</c:v>
                </c:pt>
                <c:pt idx="2">
                  <c:v>Smart phone</c:v>
                </c:pt>
                <c:pt idx="3">
                  <c:v>Sneakers</c:v>
                </c:pt>
                <c:pt idx="4">
                  <c:v>Sneekers</c:v>
                </c:pt>
                <c:pt idx="5">
                  <c:v>Tent</c:v>
                </c:pt>
              </c:strCache>
            </c:strRef>
          </c:cat>
          <c:val>
            <c:numRef>
              <c:f>'pivot table'!$I$14:$I$20</c:f>
              <c:numCache>
                <c:formatCode>General</c:formatCode>
                <c:ptCount val="6"/>
                <c:pt idx="0">
                  <c:v>350000</c:v>
                </c:pt>
                <c:pt idx="1">
                  <c:v>799100</c:v>
                </c:pt>
                <c:pt idx="2">
                  <c:v>1080000</c:v>
                </c:pt>
                <c:pt idx="3">
                  <c:v>440000</c:v>
                </c:pt>
                <c:pt idx="4">
                  <c:v>485000</c:v>
                </c:pt>
                <c:pt idx="5">
                  <c:v>684542.85714285716</c:v>
                </c:pt>
              </c:numCache>
            </c:numRef>
          </c:val>
          <c:extLst>
            <c:ext xmlns:c16="http://schemas.microsoft.com/office/drawing/2014/chart" uri="{C3380CC4-5D6E-409C-BE32-E72D297353CC}">
              <c16:uniqueId val="{00000010-C933-4EED-811D-7F8D7B6D31A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048140857392822"/>
          <c:y val="0.15558836395450568"/>
          <c:w val="0.18745862780515465"/>
          <c:h val="0.66502928513246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VS SALESPERSON</a:t>
            </a:r>
          </a:p>
        </c:rich>
      </c:tx>
      <c:layout>
        <c:manualLayout>
          <c:xMode val="edge"/>
          <c:yMode val="edge"/>
          <c:x val="0.17104443972010844"/>
          <c:y val="6.34920634920634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table'!$O$14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table'!$N$15:$N$26</c:f>
              <c:strCache>
                <c:ptCount val="11"/>
                <c:pt idx="0">
                  <c:v>Andrew</c:v>
                </c:pt>
                <c:pt idx="1">
                  <c:v>Andrews</c:v>
                </c:pt>
                <c:pt idx="2">
                  <c:v>Anna</c:v>
                </c:pt>
                <c:pt idx="3">
                  <c:v>Cameron</c:v>
                </c:pt>
                <c:pt idx="4">
                  <c:v>Canar</c:v>
                </c:pt>
                <c:pt idx="5">
                  <c:v>Caroline</c:v>
                </c:pt>
                <c:pt idx="6">
                  <c:v>Ella</c:v>
                </c:pt>
                <c:pt idx="7">
                  <c:v>Grace</c:v>
                </c:pt>
                <c:pt idx="8">
                  <c:v>Megan</c:v>
                </c:pt>
                <c:pt idx="9">
                  <c:v>Nicoles</c:v>
                </c:pt>
                <c:pt idx="10">
                  <c:v>Virginea</c:v>
                </c:pt>
              </c:strCache>
            </c:strRef>
          </c:cat>
          <c:val>
            <c:numRef>
              <c:f>'pivot table'!$O$15:$O$26</c:f>
              <c:numCache>
                <c:formatCode>0.00</c:formatCode>
                <c:ptCount val="11"/>
                <c:pt idx="0">
                  <c:v>209200</c:v>
                </c:pt>
                <c:pt idx="1">
                  <c:v>4466800</c:v>
                </c:pt>
                <c:pt idx="2">
                  <c:v>72200</c:v>
                </c:pt>
                <c:pt idx="3">
                  <c:v>103300</c:v>
                </c:pt>
                <c:pt idx="4">
                  <c:v>2007800</c:v>
                </c:pt>
                <c:pt idx="5">
                  <c:v>344400</c:v>
                </c:pt>
                <c:pt idx="6">
                  <c:v>340800</c:v>
                </c:pt>
                <c:pt idx="7">
                  <c:v>273000</c:v>
                </c:pt>
                <c:pt idx="8">
                  <c:v>174100</c:v>
                </c:pt>
                <c:pt idx="9">
                  <c:v>167800</c:v>
                </c:pt>
                <c:pt idx="10">
                  <c:v>23400</c:v>
                </c:pt>
              </c:numCache>
            </c:numRef>
          </c:val>
          <c:shape val="pyramidToMax"/>
          <c:extLst>
            <c:ext xmlns:c16="http://schemas.microsoft.com/office/drawing/2014/chart" uri="{C3380CC4-5D6E-409C-BE32-E72D297353CC}">
              <c16:uniqueId val="{00000000-3CBE-498D-A4D2-D39E6DCD8162}"/>
            </c:ext>
          </c:extLst>
        </c:ser>
        <c:dLbls>
          <c:showLegendKey val="0"/>
          <c:showVal val="1"/>
          <c:showCatName val="0"/>
          <c:showSerName val="0"/>
          <c:showPercent val="0"/>
          <c:showBubbleSize val="0"/>
        </c:dLbls>
        <c:gapWidth val="76"/>
        <c:gapDepth val="132"/>
        <c:shape val="box"/>
        <c:axId val="1031889280"/>
        <c:axId val="1031888200"/>
        <c:axId val="0"/>
      </c:bar3DChart>
      <c:catAx>
        <c:axId val="10318892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1888200"/>
        <c:crosses val="autoZero"/>
        <c:auto val="1"/>
        <c:lblAlgn val="ctr"/>
        <c:lblOffset val="100"/>
        <c:noMultiLvlLbl val="0"/>
      </c:catAx>
      <c:valAx>
        <c:axId val="1031888200"/>
        <c:scaling>
          <c:orientation val="minMax"/>
        </c:scaling>
        <c:delete val="1"/>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103188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[harshitha_myexcelprojectsalesDB.xlsx]pivot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Loss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45603674540682"/>
          <c:y val="0.37800488480606592"/>
          <c:w val="0.7559142607174103"/>
          <c:h val="0.53774387576552929"/>
        </c:manualLayout>
      </c:layout>
      <c:bar3DChart>
        <c:barDir val="col"/>
        <c:grouping val="percentStacked"/>
        <c:varyColors val="0"/>
        <c:ser>
          <c:idx val="0"/>
          <c:order val="0"/>
          <c:tx>
            <c:strRef>
              <c:f>'pivot table'!$O$4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table'!$N$5:$N$7</c:f>
              <c:strCache>
                <c:ptCount val="2"/>
                <c:pt idx="0">
                  <c:v>Loss</c:v>
                </c:pt>
                <c:pt idx="1">
                  <c:v>Profit</c:v>
                </c:pt>
              </c:strCache>
            </c:strRef>
          </c:cat>
          <c:val>
            <c:numRef>
              <c:f>'pivot table'!$O$5:$O$7</c:f>
              <c:numCache>
                <c:formatCode>General</c:formatCode>
                <c:ptCount val="2"/>
                <c:pt idx="0">
                  <c:v>218600</c:v>
                </c:pt>
                <c:pt idx="1">
                  <c:v>7964200</c:v>
                </c:pt>
              </c:numCache>
            </c:numRef>
          </c:val>
          <c:extLst>
            <c:ext xmlns:c16="http://schemas.microsoft.com/office/drawing/2014/chart" uri="{C3380CC4-5D6E-409C-BE32-E72D297353CC}">
              <c16:uniqueId val="{00000000-C8F2-4DAB-A2AD-0DC75DC8CCEB}"/>
            </c:ext>
          </c:extLst>
        </c:ser>
        <c:dLbls>
          <c:showLegendKey val="0"/>
          <c:showVal val="1"/>
          <c:showCatName val="0"/>
          <c:showSerName val="0"/>
          <c:showPercent val="0"/>
          <c:showBubbleSize val="0"/>
        </c:dLbls>
        <c:gapWidth val="150"/>
        <c:shape val="box"/>
        <c:axId val="1031903320"/>
        <c:axId val="1031904760"/>
        <c:axId val="0"/>
      </c:bar3DChart>
      <c:catAx>
        <c:axId val="1031903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04760"/>
        <c:crosses val="autoZero"/>
        <c:auto val="1"/>
        <c:lblAlgn val="ctr"/>
        <c:lblOffset val="100"/>
        <c:noMultiLvlLbl val="0"/>
      </c:catAx>
      <c:valAx>
        <c:axId val="1031904760"/>
        <c:scaling>
          <c:orientation val="minMax"/>
        </c:scaling>
        <c:delete val="1"/>
        <c:axPos val="l"/>
        <c:numFmt formatCode="0%" sourceLinked="1"/>
        <c:majorTickMark val="out"/>
        <c:minorTickMark val="none"/>
        <c:tickLblPos val="nextTo"/>
        <c:crossAx val="1031903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209550</xdr:colOff>
      <xdr:row>0</xdr:row>
      <xdr:rowOff>57149</xdr:rowOff>
    </xdr:from>
    <xdr:to>
      <xdr:col>22</xdr:col>
      <xdr:colOff>428625</xdr:colOff>
      <xdr:row>18</xdr:row>
      <xdr:rowOff>85724</xdr:rowOff>
    </xdr:to>
    <xdr:graphicFrame macro="">
      <xdr:nvGraphicFramePr>
        <xdr:cNvPr id="3" name="Chart 2">
          <a:extLst>
            <a:ext uri="{FF2B5EF4-FFF2-40B4-BE49-F238E27FC236}">
              <a16:creationId xmlns:a16="http://schemas.microsoft.com/office/drawing/2014/main" id="{660D5C67-7CAE-7C1E-B67D-2888026BC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152400</xdr:colOff>
      <xdr:row>21</xdr:row>
      <xdr:rowOff>9524</xdr:rowOff>
    </xdr:from>
    <xdr:to>
      <xdr:col>27</xdr:col>
      <xdr:colOff>161925</xdr:colOff>
      <xdr:row>31</xdr:row>
      <xdr:rowOff>38099</xdr:rowOff>
    </xdr:to>
    <xdr:graphicFrame macro="">
      <xdr:nvGraphicFramePr>
        <xdr:cNvPr id="4" name="Chart 3">
          <a:extLst>
            <a:ext uri="{FF2B5EF4-FFF2-40B4-BE49-F238E27FC236}">
              <a16:creationId xmlns:a16="http://schemas.microsoft.com/office/drawing/2014/main" id="{F651D3BC-C357-482F-4EB7-5BB5441B4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109537</xdr:colOff>
      <xdr:row>22</xdr:row>
      <xdr:rowOff>104775</xdr:rowOff>
    </xdr:from>
    <xdr:to>
      <xdr:col>12</xdr:col>
      <xdr:colOff>533400</xdr:colOff>
      <xdr:row>35</xdr:row>
      <xdr:rowOff>28575</xdr:rowOff>
    </xdr:to>
    <xdr:graphicFrame macro="">
      <xdr:nvGraphicFramePr>
        <xdr:cNvPr id="6" name="Chart 5">
          <a:extLst>
            <a:ext uri="{FF2B5EF4-FFF2-40B4-BE49-F238E27FC236}">
              <a16:creationId xmlns:a16="http://schemas.microsoft.com/office/drawing/2014/main" id="{7FDEE10F-A7E0-CD24-188F-4DA901E34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223837</xdr:colOff>
      <xdr:row>23</xdr:row>
      <xdr:rowOff>9525</xdr:rowOff>
    </xdr:from>
    <xdr:to>
      <xdr:col>20</xdr:col>
      <xdr:colOff>90487</xdr:colOff>
      <xdr:row>37</xdr:row>
      <xdr:rowOff>85725</xdr:rowOff>
    </xdr:to>
    <xdr:graphicFrame macro="">
      <xdr:nvGraphicFramePr>
        <xdr:cNvPr id="7" name="Chart 6">
          <a:extLst>
            <a:ext uri="{FF2B5EF4-FFF2-40B4-BE49-F238E27FC236}">
              <a16:creationId xmlns:a16="http://schemas.microsoft.com/office/drawing/2014/main" id="{A3389D22-3EB9-D41F-6CB2-C33C4EB76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514349</xdr:colOff>
      <xdr:row>5</xdr:row>
      <xdr:rowOff>114300</xdr:rowOff>
    </xdr:from>
    <xdr:to>
      <xdr:col>12</xdr:col>
      <xdr:colOff>333374</xdr:colOff>
      <xdr:row>19</xdr:row>
      <xdr:rowOff>9524</xdr:rowOff>
    </xdr:to>
    <xdr:graphicFrame macro="">
      <xdr:nvGraphicFramePr>
        <xdr:cNvPr id="2" name="Chart 1">
          <a:extLst>
            <a:ext uri="{FF2B5EF4-FFF2-40B4-BE49-F238E27FC236}">
              <a16:creationId xmlns:a16="http://schemas.microsoft.com/office/drawing/2014/main" id="{77E3E123-1930-40A0-86D2-C93DEA66C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85725</xdr:colOff>
      <xdr:row>6</xdr:row>
      <xdr:rowOff>9525</xdr:rowOff>
    </xdr:from>
    <xdr:to>
      <xdr:col>22</xdr:col>
      <xdr:colOff>238125</xdr:colOff>
      <xdr:row>19</xdr:row>
      <xdr:rowOff>28575</xdr:rowOff>
    </xdr:to>
    <xdr:graphicFrame macro="">
      <xdr:nvGraphicFramePr>
        <xdr:cNvPr id="3" name="Chart 2">
          <a:extLst>
            <a:ext uri="{FF2B5EF4-FFF2-40B4-BE49-F238E27FC236}">
              <a16:creationId xmlns:a16="http://schemas.microsoft.com/office/drawing/2014/main" id="{31A9BB29-A6B5-41B0-8A56-74974F17B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514350</xdr:colOff>
      <xdr:row>19</xdr:row>
      <xdr:rowOff>171450</xdr:rowOff>
    </xdr:from>
    <xdr:to>
      <xdr:col>12</xdr:col>
      <xdr:colOff>342900</xdr:colOff>
      <xdr:row>33</xdr:row>
      <xdr:rowOff>38099</xdr:rowOff>
    </xdr:to>
    <xdr:graphicFrame macro="">
      <xdr:nvGraphicFramePr>
        <xdr:cNvPr id="6" name="Chart 5">
          <a:extLst>
            <a:ext uri="{FF2B5EF4-FFF2-40B4-BE49-F238E27FC236}">
              <a16:creationId xmlns:a16="http://schemas.microsoft.com/office/drawing/2014/main" id="{B4E40E06-19AA-4D1E-9754-F2AB48884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104775</xdr:colOff>
      <xdr:row>19</xdr:row>
      <xdr:rowOff>123825</xdr:rowOff>
    </xdr:from>
    <xdr:to>
      <xdr:col>22</xdr:col>
      <xdr:colOff>219075</xdr:colOff>
      <xdr:row>34</xdr:row>
      <xdr:rowOff>76200</xdr:rowOff>
    </xdr:to>
    <xdr:graphicFrame macro="">
      <xdr:nvGraphicFramePr>
        <xdr:cNvPr id="7" name="Chart 6">
          <a:extLst>
            <a:ext uri="{FF2B5EF4-FFF2-40B4-BE49-F238E27FC236}">
              <a16:creationId xmlns:a16="http://schemas.microsoft.com/office/drawing/2014/main" id="{DBAAA1B1-7BFA-4B9D-9FD3-EEFEDEA13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190500</xdr:colOff>
      <xdr:row>9</xdr:row>
      <xdr:rowOff>0</xdr:rowOff>
    </xdr:from>
    <xdr:to>
      <xdr:col>4</xdr:col>
      <xdr:colOff>190500</xdr:colOff>
      <xdr:row>19</xdr:row>
      <xdr:rowOff>28575</xdr:rowOff>
    </xdr:to>
    <mc:AlternateContent xmlns:mc="http://schemas.openxmlformats.org/markup-compatibility/2006" xmlns:a14="http://schemas.microsoft.com/office/drawing/2010/main">
      <mc:Choice Requires="a14">
        <xdr:graphicFrame macro="">
          <xdr:nvGraphicFramePr>
            <xdr:cNvPr id="8" name="SALES PERSON">
              <a:extLst>
                <a:ext uri="{FF2B5EF4-FFF2-40B4-BE49-F238E27FC236}">
                  <a16:creationId xmlns:a16="http://schemas.microsoft.com/office/drawing/2014/main" id="{03D80934-97B7-4AF8-1058-5C3BCF8F4A66}"/>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00100" y="2162175"/>
              <a:ext cx="1828800"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22</xdr:row>
      <xdr:rowOff>66676</xdr:rowOff>
    </xdr:from>
    <xdr:to>
      <xdr:col>4</xdr:col>
      <xdr:colOff>180975</xdr:colOff>
      <xdr:row>27</xdr:row>
      <xdr:rowOff>123826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F4AD3D9-DB66-C50E-A4C5-25B9CCF3BB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0575" y="4705351"/>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darkarai Thangaraj" refreshedDate="46109.993675115744" createdVersion="8" refreshedVersion="8" minRefreshableVersion="3" recordCount="29" xr:uid="{50CB65A2-B305-42A4-B4D0-9E5E22DBFE6E}">
  <cacheSource type="worksheet">
    <worksheetSource name="sale_db"/>
  </cacheSource>
  <cacheFields count="10">
    <cacheField name="DATE" numFmtId="14">
      <sharedItems containsSemiMixedTypes="0" containsNonDate="0" containsDate="1" containsString="0" minDate="2020-06-08T00:00:00" maxDate="2021-12-22T00:00:00"/>
    </cacheField>
    <cacheField name="SALES PERSON" numFmtId="0">
      <sharedItems count="11">
        <s v="Andrew"/>
        <s v="Grace"/>
        <s v="Ella"/>
        <s v="Cameron"/>
        <s v="Megan"/>
        <s v="Caroline"/>
        <s v="Virginea"/>
        <s v="Canar"/>
        <s v="Anna"/>
        <s v="Nicoles"/>
        <s v="Andrews"/>
      </sharedItems>
    </cacheField>
    <cacheField name="REGION" numFmtId="0">
      <sharedItems count="4">
        <s v="WEST"/>
        <s v="EAST"/>
        <s v="SOUTH"/>
        <s v="NORTH"/>
      </sharedItems>
    </cacheField>
    <cacheField name="PRODUCT" numFmtId="0">
      <sharedItems count="8">
        <s v="Tent"/>
        <s v="Blender"/>
        <s v="Action figure"/>
        <s v="Novel"/>
        <s v="Sneakers"/>
        <s v="Moisturizer"/>
        <s v="Sneekers"/>
        <s v="Smart phone"/>
      </sharedItems>
    </cacheField>
    <cacheField name="UNIT SOLD" numFmtId="0">
      <sharedItems containsSemiMixedTypes="0" containsString="0" containsNumber="1" containsInteger="1" minValue="51" maxValue="146"/>
    </cacheField>
    <cacheField name="UNIT PRICE" numFmtId="0">
      <sharedItems containsSemiMixedTypes="0" containsString="0" containsNumber="1" containsInteger="1" minValue="600" maxValue="6000"/>
    </cacheField>
    <cacheField name="COST OF GOODS" numFmtId="0">
      <sharedItems containsSemiMixedTypes="0" containsString="0" containsNumber="1" containsInteger="1" minValue="400" maxValue="7000"/>
    </cacheField>
    <cacheField name="TOTAL SALES" numFmtId="0">
      <sharedItems containsSemiMixedTypes="0" containsString="0" containsNumber="1" containsInteger="1" minValue="55200" maxValue="4500000"/>
    </cacheField>
    <cacheField name="PROFIT" numFmtId="0">
      <sharedItems containsSemiMixedTypes="0" containsString="0" containsNumber="1" containsInteger="1" minValue="18400" maxValue="4466800"/>
    </cacheField>
    <cacheField name="Profit/Loss" numFmtId="0">
      <sharedItems count="2">
        <s v="Profit"/>
        <s v="Loss"/>
      </sharedItems>
    </cacheField>
  </cacheFields>
  <extLst>
    <ext xmlns:x14="http://schemas.microsoft.com/office/spreadsheetml/2009/9/main" uri="{725AE2AE-9491-48be-B2B4-4EB974FC3084}">
      <x14:pivotCacheDefinition pivotCacheId="726947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d v="2021-02-19T00:00:00"/>
    <x v="0"/>
    <x v="0"/>
    <x v="0"/>
    <n v="84"/>
    <n v="6000"/>
    <n v="4000"/>
    <n v="504000"/>
    <n v="168000"/>
    <x v="0"/>
  </r>
  <r>
    <d v="2021-09-07T00:00:00"/>
    <x v="1"/>
    <x v="1"/>
    <x v="1"/>
    <n v="128"/>
    <n v="3500"/>
    <n v="2500"/>
    <n v="448000"/>
    <n v="128000"/>
    <x v="0"/>
  </r>
  <r>
    <d v="2021-02-03T00:00:00"/>
    <x v="2"/>
    <x v="2"/>
    <x v="2"/>
    <n v="138"/>
    <n v="1200"/>
    <n v="800"/>
    <n v="163200"/>
    <n v="52800"/>
    <x v="0"/>
  </r>
  <r>
    <d v="2020-09-11T00:00:00"/>
    <x v="3"/>
    <x v="3"/>
    <x v="3"/>
    <n v="91"/>
    <n v="1000"/>
    <n v="700"/>
    <n v="91000"/>
    <n v="27300"/>
    <x v="1"/>
  </r>
  <r>
    <d v="2021-09-23T00:00:00"/>
    <x v="4"/>
    <x v="0"/>
    <x v="4"/>
    <n v="110"/>
    <n v="4000"/>
    <n v="3000"/>
    <n v="440000"/>
    <n v="110000"/>
    <x v="0"/>
  </r>
  <r>
    <d v="2020-10-01T00:00:00"/>
    <x v="5"/>
    <x v="1"/>
    <x v="2"/>
    <n v="51"/>
    <n v="1200"/>
    <n v="800"/>
    <n v="61200"/>
    <n v="20400"/>
    <x v="1"/>
  </r>
  <r>
    <d v="2021-08-05T00:00:00"/>
    <x v="6"/>
    <x v="3"/>
    <x v="3"/>
    <n v="78"/>
    <n v="1000"/>
    <n v="700"/>
    <n v="78000"/>
    <n v="23400"/>
    <x v="1"/>
  </r>
  <r>
    <d v="2020-11-06T00:00:00"/>
    <x v="7"/>
    <x v="2"/>
    <x v="0"/>
    <n v="146"/>
    <n v="6000"/>
    <n v="4000"/>
    <n v="876000"/>
    <n v="292000"/>
    <x v="0"/>
  </r>
  <r>
    <d v="2021-01-27T00:00:00"/>
    <x v="8"/>
    <x v="0"/>
    <x v="5"/>
    <n v="101"/>
    <n v="600"/>
    <n v="400"/>
    <n v="60600"/>
    <n v="20200"/>
    <x v="1"/>
  </r>
  <r>
    <d v="2021-09-03T00:00:00"/>
    <x v="9"/>
    <x v="2"/>
    <x v="0"/>
    <n v="52"/>
    <n v="6000"/>
    <n v="4000"/>
    <n v="312000"/>
    <n v="104000"/>
    <x v="0"/>
  </r>
  <r>
    <d v="2021-09-30T00:00:00"/>
    <x v="9"/>
    <x v="1"/>
    <x v="2"/>
    <n v="55"/>
    <n v="1200"/>
    <n v="800"/>
    <n v="66000"/>
    <n v="22000"/>
    <x v="1"/>
  </r>
  <r>
    <d v="2020-09-10T00:00:00"/>
    <x v="9"/>
    <x v="2"/>
    <x v="3"/>
    <n v="136"/>
    <n v="1000"/>
    <n v="700"/>
    <n v="137000"/>
    <n v="41800"/>
    <x v="0"/>
  </r>
  <r>
    <d v="2021-07-27T00:00:00"/>
    <x v="7"/>
    <x v="2"/>
    <x v="1"/>
    <n v="96"/>
    <n v="3500"/>
    <n v="2500"/>
    <n v="336000"/>
    <n v="96000"/>
    <x v="0"/>
  </r>
  <r>
    <d v="2020-10-09T00:00:00"/>
    <x v="8"/>
    <x v="1"/>
    <x v="6"/>
    <n v="52"/>
    <n v="4000"/>
    <n v="3000"/>
    <n v="208000"/>
    <n v="52000"/>
    <x v="0"/>
  </r>
  <r>
    <d v="2021-04-06T00:00:00"/>
    <x v="3"/>
    <x v="0"/>
    <x v="1"/>
    <n v="76"/>
    <n v="3500"/>
    <n v="2500"/>
    <n v="266000"/>
    <n v="76000"/>
    <x v="0"/>
  </r>
  <r>
    <d v="2021-06-15T00:00:00"/>
    <x v="1"/>
    <x v="3"/>
    <x v="6"/>
    <n v="145"/>
    <n v="4000"/>
    <n v="3000"/>
    <n v="580000"/>
    <n v="145000"/>
    <x v="0"/>
  </r>
  <r>
    <d v="2020-09-09T00:00:00"/>
    <x v="10"/>
    <x v="2"/>
    <x v="5"/>
    <n v="83"/>
    <n v="600"/>
    <n v="400"/>
    <n v="4500000"/>
    <n v="4466800"/>
    <x v="0"/>
  </r>
  <r>
    <d v="2021-08-13T00:00:00"/>
    <x v="4"/>
    <x v="2"/>
    <x v="3"/>
    <n v="91"/>
    <n v="1000"/>
    <n v="700"/>
    <n v="91000"/>
    <n v="27300"/>
    <x v="1"/>
  </r>
  <r>
    <d v="2020-08-27T00:00:00"/>
    <x v="5"/>
    <x v="0"/>
    <x v="7"/>
    <n v="108"/>
    <n v="2000"/>
    <n v="7000"/>
    <n v="1080000"/>
    <n v="324000"/>
    <x v="0"/>
  </r>
  <r>
    <d v="2021-04-07T00:00:00"/>
    <x v="2"/>
    <x v="3"/>
    <x v="6"/>
    <n v="144"/>
    <n v="4000"/>
    <n v="3000"/>
    <n v="576000"/>
    <n v="144000"/>
    <x v="0"/>
  </r>
  <r>
    <d v="2020-06-08T00:00:00"/>
    <x v="4"/>
    <x v="2"/>
    <x v="5"/>
    <n v="92"/>
    <n v="600"/>
    <n v="400"/>
    <n v="55200"/>
    <n v="18400"/>
    <x v="1"/>
  </r>
  <r>
    <d v="2021-12-21T00:00:00"/>
    <x v="7"/>
    <x v="0"/>
    <x v="0"/>
    <n v="71"/>
    <n v="6000"/>
    <n v="4000"/>
    <n v="426000"/>
    <n v="142000"/>
    <x v="0"/>
  </r>
  <r>
    <d v="2021-08-10T00:00:00"/>
    <x v="0"/>
    <x v="1"/>
    <x v="5"/>
    <n v="103"/>
    <n v="600"/>
    <n v="400"/>
    <n v="61800"/>
    <n v="20600"/>
    <x v="1"/>
  </r>
  <r>
    <d v="2020-08-15T00:00:00"/>
    <x v="7"/>
    <x v="1"/>
    <x v="0"/>
    <n v="114"/>
    <n v="1200"/>
    <n v="4000"/>
    <n v="1123900"/>
    <n v="667900"/>
    <x v="0"/>
  </r>
  <r>
    <d v="2021-04-07T00:00:00"/>
    <x v="2"/>
    <x v="3"/>
    <x v="6"/>
    <n v="144"/>
    <n v="4000"/>
    <n v="3000"/>
    <n v="576000"/>
    <n v="144000"/>
    <x v="0"/>
  </r>
  <r>
    <d v="2020-06-08T00:00:00"/>
    <x v="4"/>
    <x v="2"/>
    <x v="5"/>
    <n v="92"/>
    <n v="600"/>
    <n v="400"/>
    <n v="55200"/>
    <n v="18400"/>
    <x v="1"/>
  </r>
  <r>
    <d v="2021-12-21T00:00:00"/>
    <x v="7"/>
    <x v="0"/>
    <x v="0"/>
    <n v="71"/>
    <n v="6000"/>
    <n v="4000"/>
    <n v="426000"/>
    <n v="142000"/>
    <x v="0"/>
  </r>
  <r>
    <d v="2021-08-10T00:00:00"/>
    <x v="0"/>
    <x v="1"/>
    <x v="5"/>
    <n v="103"/>
    <n v="600"/>
    <n v="400"/>
    <n v="61800"/>
    <n v="20600"/>
    <x v="1"/>
  </r>
  <r>
    <d v="2020-08-15T00:00:00"/>
    <x v="7"/>
    <x v="1"/>
    <x v="0"/>
    <n v="114"/>
    <n v="1200"/>
    <n v="4000"/>
    <n v="1123900"/>
    <n v="6679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01695-7A3A-4516-ADCE-5C69377B486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14:O26" firstHeaderRow="1" firstDataRow="1" firstDataCol="1"/>
  <pivotFields count="10">
    <pivotField numFmtId="14" showAll="0"/>
    <pivotField axis="axisRow" showAll="0">
      <items count="12">
        <item x="0"/>
        <item x="10"/>
        <item x="8"/>
        <item x="3"/>
        <item x="7"/>
        <item x="5"/>
        <item x="2"/>
        <item x="1"/>
        <item x="4"/>
        <item x="9"/>
        <item x="6"/>
        <item t="default"/>
      </items>
    </pivotField>
    <pivotField showAll="0">
      <items count="5">
        <item x="1"/>
        <item x="3"/>
        <item x="2"/>
        <item x="0"/>
        <item t="default"/>
      </items>
    </pivotField>
    <pivotField showAll="0">
      <items count="9">
        <item x="2"/>
        <item x="1"/>
        <item x="5"/>
        <item x="3"/>
        <item x="7"/>
        <item x="4"/>
        <item x="6"/>
        <item x="0"/>
        <item t="default"/>
      </items>
    </pivotField>
    <pivotField showAll="0"/>
    <pivotField showAll="0"/>
    <pivotField showAll="0"/>
    <pivotField showAll="0"/>
    <pivotField dataField="1" showAll="0"/>
    <pivotField showAll="0">
      <items count="3">
        <item x="1"/>
        <item x="0"/>
        <item t="default"/>
      </items>
    </pivotField>
  </pivotFields>
  <rowFields count="1">
    <field x="1"/>
  </rowFields>
  <rowItems count="12">
    <i>
      <x/>
    </i>
    <i>
      <x v="1"/>
    </i>
    <i>
      <x v="2"/>
    </i>
    <i>
      <x v="3"/>
    </i>
    <i>
      <x v="4"/>
    </i>
    <i>
      <x v="5"/>
    </i>
    <i>
      <x v="6"/>
    </i>
    <i>
      <x v="7"/>
    </i>
    <i>
      <x v="8"/>
    </i>
    <i>
      <x v="9"/>
    </i>
    <i>
      <x v="10"/>
    </i>
    <i t="grand">
      <x/>
    </i>
  </rowItems>
  <colItems count="1">
    <i/>
  </colItems>
  <dataFields count="1">
    <dataField name="Sum of PROFIT" fld="8" baseField="1" baseItem="0" numFmtId="2"/>
  </dataFields>
  <formats count="3">
    <format dxfId="14">
      <pivotArea dataOnly="0" outline="0" axis="axisValues" fieldPosition="0"/>
    </format>
    <format dxfId="13">
      <pivotArea outline="0" collapsedLevelsAreSubtotals="1" fieldPosition="0"/>
    </format>
    <format dxfId="12">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90ACD-CD2B-4F37-8673-91D816174D9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4:O7" firstHeaderRow="1" firstDataRow="1" firstDataCol="1"/>
  <pivotFields count="10">
    <pivotField numFmtId="14" showAll="0"/>
    <pivotField showAll="0">
      <items count="12">
        <item x="0"/>
        <item x="10"/>
        <item x="8"/>
        <item x="3"/>
        <item x="7"/>
        <item x="5"/>
        <item x="2"/>
        <item x="1"/>
        <item x="4"/>
        <item x="9"/>
        <item x="6"/>
        <item t="default"/>
      </items>
    </pivotField>
    <pivotField showAll="0">
      <items count="5">
        <item x="1"/>
        <item x="3"/>
        <item x="2"/>
        <item x="0"/>
        <item t="default"/>
      </items>
    </pivotField>
    <pivotField showAll="0">
      <items count="9">
        <item x="2"/>
        <item x="1"/>
        <item x="5"/>
        <item x="3"/>
        <item x="7"/>
        <item x="4"/>
        <item x="6"/>
        <item x="0"/>
        <item t="default"/>
      </items>
    </pivotField>
    <pivotField showAll="0"/>
    <pivotField showAll="0"/>
    <pivotField showAll="0"/>
    <pivotField showAll="0"/>
    <pivotField dataField="1" showAll="0"/>
    <pivotField axis="axisRow" showAll="0">
      <items count="3">
        <item x="1"/>
        <item x="0"/>
        <item t="default"/>
      </items>
    </pivotField>
  </pivotFields>
  <rowFields count="1">
    <field x="9"/>
  </rowFields>
  <rowItems count="3">
    <i>
      <x/>
    </i>
    <i>
      <x v="1"/>
    </i>
    <i t="grand">
      <x/>
    </i>
  </rowItems>
  <colItems count="1">
    <i/>
  </colItems>
  <dataFields count="1">
    <dataField name="Sum of PROFIT" fld="8" baseField="9"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01006-CB28-4BBC-B866-2F2A3C2FE2B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3:I20" firstHeaderRow="1" firstDataRow="1" firstDataCol="1"/>
  <pivotFields count="10">
    <pivotField numFmtId="14" showAll="0"/>
    <pivotField showAll="0">
      <items count="12">
        <item x="0"/>
        <item x="10"/>
        <item x="8"/>
        <item x="3"/>
        <item x="7"/>
        <item x="5"/>
        <item x="2"/>
        <item x="1"/>
        <item x="4"/>
        <item x="9"/>
        <item x="6"/>
        <item t="default"/>
      </items>
    </pivotField>
    <pivotField showAll="0">
      <items count="5">
        <item x="1"/>
        <item x="3"/>
        <item x="2"/>
        <item x="0"/>
        <item t="default"/>
      </items>
    </pivotField>
    <pivotField axis="axisRow" showAll="0" measureFilter="1">
      <items count="9">
        <item x="2"/>
        <item x="1"/>
        <item x="5"/>
        <item x="3"/>
        <item x="7"/>
        <item x="4"/>
        <item x="6"/>
        <item x="0"/>
        <item t="default"/>
      </items>
    </pivotField>
    <pivotField showAll="0"/>
    <pivotField showAll="0"/>
    <pivotField showAll="0"/>
    <pivotField dataField="1" showAll="0"/>
    <pivotField showAll="0"/>
    <pivotField showAll="0"/>
  </pivotFields>
  <rowFields count="1">
    <field x="3"/>
  </rowFields>
  <rowItems count="7">
    <i>
      <x v="1"/>
    </i>
    <i>
      <x v="2"/>
    </i>
    <i>
      <x v="4"/>
    </i>
    <i>
      <x v="5"/>
    </i>
    <i>
      <x v="6"/>
    </i>
    <i>
      <x v="7"/>
    </i>
    <i t="grand">
      <x/>
    </i>
  </rowItems>
  <colItems count="1">
    <i/>
  </colItems>
  <dataFields count="1">
    <dataField name="Average of TOTAL SALES" fld="7" subtotal="average" baseField="3" baseItem="0"/>
  </dataFields>
  <chartFormats count="16">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3" format="15">
      <pivotArea type="data" outline="0" fieldPosition="0">
        <references count="2">
          <reference field="4294967294" count="1" selected="0">
            <x v="0"/>
          </reference>
          <reference field="3" count="1" selected="0">
            <x v="4"/>
          </reference>
        </references>
      </pivotArea>
    </chartFormat>
    <chartFormat chart="3" format="16">
      <pivotArea type="data" outline="0" fieldPosition="0">
        <references count="2">
          <reference field="4294967294" count="1" selected="0">
            <x v="0"/>
          </reference>
          <reference field="3" count="1" selected="0">
            <x v="5"/>
          </reference>
        </references>
      </pivotArea>
    </chartFormat>
    <chartFormat chart="3" format="17">
      <pivotArea type="data" outline="0" fieldPosition="0">
        <references count="2">
          <reference field="4294967294" count="1" selected="0">
            <x v="0"/>
          </reference>
          <reference field="3" count="1" selected="0">
            <x v="6"/>
          </reference>
        </references>
      </pivotArea>
    </chartFormat>
    <chartFormat chart="3" format="18">
      <pivotArea type="data" outline="0" fieldPosition="0">
        <references count="2">
          <reference field="4294967294" count="1" selected="0">
            <x v="0"/>
          </reference>
          <reference field="3" count="1" selected="0">
            <x v="7"/>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20DBF-931B-4DF1-8083-ED0AED46B3E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J7" firstHeaderRow="0" firstDataRow="1" firstDataCol="1"/>
  <pivotFields count="10">
    <pivotField numFmtId="14" showAll="0"/>
    <pivotField showAll="0">
      <items count="12">
        <item x="0"/>
        <item x="10"/>
        <item x="8"/>
        <item x="3"/>
        <item x="7"/>
        <item x="5"/>
        <item x="2"/>
        <item x="1"/>
        <item x="4"/>
        <item x="9"/>
        <item x="6"/>
        <item t="default"/>
      </items>
    </pivotField>
    <pivotField axis="axisRow" showAll="0">
      <items count="5">
        <item x="1"/>
        <item x="3"/>
        <item x="2"/>
        <item x="0"/>
        <item t="default"/>
      </items>
    </pivotField>
    <pivotField showAll="0"/>
    <pivotField dataField="1" showAll="0"/>
    <pivotField showAll="0"/>
    <pivotField showAll="0"/>
    <pivotField dataField="1"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Count of UNIT SOLD" fld="4" subtotal="count" baseField="2" baseItem="0"/>
    <dataField name="Sum of TOTAL SALES" fld="7"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18F250-FEF3-4E44-BD77-6B50B59B90C3}" autoFormatId="16" applyNumberFormats="0" applyBorderFormats="0" applyFontFormats="0" applyPatternFormats="0" applyAlignmentFormats="0" applyWidthHeightFormats="0">
  <queryTableRefresh nextId="11" unboundColumnsRight="1">
    <queryTableFields count="10">
      <queryTableField id="1" name="DATE" tableColumnId="1"/>
      <queryTableField id="2" name="SALES PERSON" tableColumnId="2"/>
      <queryTableField id="3" name="REGION" tableColumnId="3"/>
      <queryTableField id="4" name="PRODUCT" tableColumnId="4"/>
      <queryTableField id="5" name="UNIT SOLD" tableColumnId="5"/>
      <queryTableField id="6" name="UNIT PRICE" tableColumnId="6"/>
      <queryTableField id="7" name="COST OF GOODS" tableColumnId="7"/>
      <queryTableField id="8" name="TOTAL SALES" tableColumnId="8"/>
      <queryTableField id="9" name="PROFIT"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EBDF6EE-B01B-4FD5-9F01-ACC964E96590}" sourceName="SALES PERSON">
  <pivotTables>
    <pivotTable tabId="2" name="PivotTable4"/>
    <pivotTable tabId="2" name="PivotTable1"/>
    <pivotTable tabId="2" name="PivotTable2"/>
    <pivotTable tabId="2" name="PivotTable3"/>
  </pivotTables>
  <data>
    <tabular pivotCacheId="726947168">
      <items count="11">
        <i x="0" s="1"/>
        <i x="10" s="1"/>
        <i x="8" s="1"/>
        <i x="3" s="1"/>
        <i x="7" s="1"/>
        <i x="5"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02E4E9-EB1C-476A-9408-998C3BB15E21}" sourceName="REGION">
  <pivotTables>
    <pivotTable tabId="2" name="PivotTable4"/>
    <pivotTable tabId="2" name="PivotTable1"/>
    <pivotTable tabId="2" name="PivotTable2"/>
    <pivotTable tabId="2" name="PivotTable3"/>
  </pivotTables>
  <data>
    <tabular pivotCacheId="72694716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E172BC6-1665-4CA7-81BB-A522196C059D}" cache="Slicer_SALES_PERSON" caption="SALES PERSON" rowHeight="241300"/>
  <slicer name="REGION" xr10:uid="{7ED15CFF-FE34-4874-A071-E0F5866B46A5}" cache="Slicer_REGION" caption="REGION"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3E662F-1529-4D12-A051-CD69AA68194A}" name="sale_db" displayName="sale_db" ref="A1:J30" tableType="queryTable" totalsRowShown="0">
  <autoFilter ref="A1:J30" xr:uid="{363E662F-1529-4D12-A051-CD69AA68194A}"/>
  <tableColumns count="10">
    <tableColumn id="1" xr3:uid="{55120C2E-C62E-4596-B29F-A4E1CA6A3BBC}" uniqueName="1" name="DATE" queryTableFieldId="1" dataDxfId="11"/>
    <tableColumn id="2" xr3:uid="{D2EB52B6-7D15-454F-AF90-6E630BB28562}" uniqueName="2" name="SALES PERSON" queryTableFieldId="2" dataDxfId="10"/>
    <tableColumn id="3" xr3:uid="{B8DBD975-8233-4EDF-8145-2D8C3772F32D}" uniqueName="3" name="REGION" queryTableFieldId="3" dataDxfId="9"/>
    <tableColumn id="4" xr3:uid="{91F9483C-76CF-4129-AB30-B4000BDF3C06}" uniqueName="4" name="PRODUCT" queryTableFieldId="4" dataDxfId="8"/>
    <tableColumn id="5" xr3:uid="{B4BF6F41-F400-499A-9FDB-3129EFE578EB}" uniqueName="5" name="UNIT SOLD" queryTableFieldId="5"/>
    <tableColumn id="6" xr3:uid="{6B1D80BE-0090-453F-9E1B-3C2BBBF20843}" uniqueName="6" name="UNIT PRICE" queryTableFieldId="6"/>
    <tableColumn id="7" xr3:uid="{EC7B2B9F-9F5F-4073-AC64-7B91CE2DC7DB}" uniqueName="7" name="COST OF GOODS" queryTableFieldId="7"/>
    <tableColumn id="8" xr3:uid="{B869989C-FFC7-465C-B894-984FFE7C319E}" uniqueName="8" name="TOTAL SALES" queryTableFieldId="8"/>
    <tableColumn id="9" xr3:uid="{B96162A7-8714-42C6-9D9F-CC994ECCED6A}" uniqueName="9" name="PROFIT" queryTableFieldId="9"/>
    <tableColumn id="10" xr3:uid="{713B351B-CACB-40A4-8938-A2B25EC887CC}" uniqueName="10" name="Profit/Loss" queryTableFieldId="10" dataDxfId="7">
      <calculatedColumnFormula>IF(sale_db[[#This Row],[PROFIT]]&gt;35000,"Profit","Loss")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D6A7C3-BC23-4764-8F1B-90A72C23C30A}" name="Table3" displayName="Table3" ref="A1:I30" totalsRowShown="0" headerRowDxfId="6" dataDxfId="5" headerRowCellStyle="Currency" dataCellStyle="Currency">
  <autoFilter ref="A1:I30" xr:uid="{EFD6A7C3-BC23-4764-8F1B-90A72C23C30A}"/>
  <tableColumns count="9">
    <tableColumn id="1" xr3:uid="{F5AD3138-EE1F-4727-89E4-E8B469234A18}" name="DATE" dataDxfId="4"/>
    <tableColumn id="2" xr3:uid="{4396C7F4-7556-43E6-9DC6-9E55577D01AE}" name="SALES PERSON"/>
    <tableColumn id="3" xr3:uid="{B5EA729B-ECD7-4A0A-A874-108AC58E4AEC}" name="REGION"/>
    <tableColumn id="4" xr3:uid="{A74137E8-53DA-40F6-903D-EAE3FE4BAE29}" name="PRODUCT"/>
    <tableColumn id="5" xr3:uid="{447842C0-A4F9-4232-A47B-7AD588C6BF6D}" name="UNIT SOLD"/>
    <tableColumn id="6" xr3:uid="{F74C64DD-68A0-4399-B342-84D3EFC51A5D}" name="UNIT PRICE" dataDxfId="3" dataCellStyle="Currency"/>
    <tableColumn id="7" xr3:uid="{A0E01BB2-ADA9-4329-A572-1C9F4E3690EE}" name="COST OF GOODS" dataDxfId="2" dataCellStyle="Currency"/>
    <tableColumn id="8" xr3:uid="{0475EB37-999E-44DA-A231-3D3BF559F496}" name="TOTAL SALES" dataDxfId="1" dataCellStyle="Currency"/>
    <tableColumn id="9" xr3:uid="{0B9E9AB4-65D9-4452-9FF4-BC178B48DC15}" name="PROFIT" dataDxfId="0" dataCellStyle="Currency">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C7A2-C211-486B-A136-16B9A366F17B}">
  <sheetPr codeName="Sheet2"/>
  <dimension ref="D2:O26"/>
  <sheetViews>
    <sheetView topLeftCell="H4" workbookViewId="0">
      <selection activeCell="AC29" sqref="AC29"/>
    </sheetView>
  </sheetViews>
  <sheetFormatPr defaultRowHeight="15" x14ac:dyDescent="0.25"/>
  <cols>
    <col min="1" max="1" width="13.140625" bestFit="1" customWidth="1"/>
    <col min="2" max="2" width="19" bestFit="1" customWidth="1"/>
    <col min="4" max="4" width="13.140625" bestFit="1" customWidth="1"/>
    <col min="5" max="5" width="19" bestFit="1" customWidth="1"/>
    <col min="6" max="6" width="17.28515625" bestFit="1" customWidth="1"/>
    <col min="7" max="8" width="13.140625" bestFit="1" customWidth="1"/>
    <col min="9" max="9" width="22.5703125" bestFit="1" customWidth="1"/>
    <col min="10" max="10" width="19" bestFit="1" customWidth="1"/>
    <col min="11" max="11" width="7.140625" bestFit="1" customWidth="1"/>
    <col min="12" max="12" width="6" bestFit="1" customWidth="1"/>
    <col min="13" max="13" width="11.28515625" bestFit="1" customWidth="1"/>
    <col min="14" max="14" width="13.140625" bestFit="1" customWidth="1"/>
    <col min="15" max="15" width="14" bestFit="1" customWidth="1"/>
    <col min="16" max="16" width="18.7109375" bestFit="1" customWidth="1"/>
  </cols>
  <sheetData>
    <row r="2" spans="4:15" x14ac:dyDescent="0.25">
      <c r="H2" s="8" t="s">
        <v>32</v>
      </c>
      <c r="I2" t="s">
        <v>45</v>
      </c>
      <c r="J2" t="s">
        <v>34</v>
      </c>
    </row>
    <row r="3" spans="4:15" x14ac:dyDescent="0.25">
      <c r="H3" s="9" t="s">
        <v>36</v>
      </c>
      <c r="I3">
        <v>8</v>
      </c>
      <c r="J3">
        <v>3154600</v>
      </c>
    </row>
    <row r="4" spans="4:15" x14ac:dyDescent="0.25">
      <c r="H4" s="9" t="s">
        <v>38</v>
      </c>
      <c r="I4">
        <v>5</v>
      </c>
      <c r="J4">
        <v>1901000</v>
      </c>
      <c r="N4" s="8" t="s">
        <v>32</v>
      </c>
      <c r="O4" t="s">
        <v>41</v>
      </c>
    </row>
    <row r="5" spans="4:15" x14ac:dyDescent="0.25">
      <c r="H5" s="9" t="s">
        <v>37</v>
      </c>
      <c r="I5">
        <v>9</v>
      </c>
      <c r="J5">
        <v>6525600</v>
      </c>
      <c r="N5" s="9" t="s">
        <v>43</v>
      </c>
      <c r="O5">
        <v>218600</v>
      </c>
    </row>
    <row r="6" spans="4:15" x14ac:dyDescent="0.25">
      <c r="H6" s="9" t="s">
        <v>35</v>
      </c>
      <c r="I6">
        <v>7</v>
      </c>
      <c r="J6">
        <v>3202600</v>
      </c>
      <c r="N6" s="9" t="s">
        <v>44</v>
      </c>
      <c r="O6">
        <v>7964200</v>
      </c>
    </row>
    <row r="7" spans="4:15" x14ac:dyDescent="0.25">
      <c r="H7" s="9" t="s">
        <v>33</v>
      </c>
      <c r="I7">
        <v>29</v>
      </c>
      <c r="J7">
        <v>14783800</v>
      </c>
      <c r="N7" s="9" t="s">
        <v>33</v>
      </c>
      <c r="O7">
        <v>8182800</v>
      </c>
    </row>
    <row r="13" spans="4:15" x14ac:dyDescent="0.25">
      <c r="H13" s="8" t="s">
        <v>32</v>
      </c>
      <c r="I13" t="s">
        <v>42</v>
      </c>
    </row>
    <row r="14" spans="4:15" x14ac:dyDescent="0.25">
      <c r="D14" s="9"/>
      <c r="H14" s="9" t="s">
        <v>20</v>
      </c>
      <c r="I14">
        <v>350000</v>
      </c>
      <c r="N14" s="8" t="s">
        <v>32</v>
      </c>
      <c r="O14" s="15" t="s">
        <v>41</v>
      </c>
    </row>
    <row r="15" spans="4:15" x14ac:dyDescent="0.25">
      <c r="H15" s="9" t="s">
        <v>24</v>
      </c>
      <c r="I15">
        <v>799100</v>
      </c>
      <c r="N15" s="9" t="s">
        <v>2</v>
      </c>
      <c r="O15" s="15">
        <v>209200</v>
      </c>
    </row>
    <row r="16" spans="4:15" x14ac:dyDescent="0.25">
      <c r="H16" s="9" t="s">
        <v>26</v>
      </c>
      <c r="I16">
        <v>1080000</v>
      </c>
      <c r="N16" s="9" t="s">
        <v>12</v>
      </c>
      <c r="O16" s="15">
        <v>4466800</v>
      </c>
    </row>
    <row r="17" spans="7:15" x14ac:dyDescent="0.25">
      <c r="H17" s="9" t="s">
        <v>23</v>
      </c>
      <c r="I17">
        <v>440000</v>
      </c>
      <c r="N17" s="9" t="s">
        <v>10</v>
      </c>
      <c r="O17" s="15">
        <v>72200</v>
      </c>
    </row>
    <row r="18" spans="7:15" x14ac:dyDescent="0.25">
      <c r="G18" s="9"/>
      <c r="H18" s="9" t="s">
        <v>25</v>
      </c>
      <c r="I18">
        <v>485000</v>
      </c>
      <c r="N18" s="9" t="s">
        <v>5</v>
      </c>
      <c r="O18" s="15">
        <v>103300</v>
      </c>
    </row>
    <row r="19" spans="7:15" x14ac:dyDescent="0.25">
      <c r="H19" s="9" t="s">
        <v>19</v>
      </c>
      <c r="I19">
        <v>684542.85714285716</v>
      </c>
      <c r="N19" s="9" t="s">
        <v>9</v>
      </c>
      <c r="O19" s="15">
        <v>2007800</v>
      </c>
    </row>
    <row r="20" spans="7:15" x14ac:dyDescent="0.25">
      <c r="H20" s="9" t="s">
        <v>33</v>
      </c>
      <c r="I20">
        <v>640745.45454545459</v>
      </c>
      <c r="N20" s="9" t="s">
        <v>7</v>
      </c>
      <c r="O20" s="15">
        <v>344400</v>
      </c>
    </row>
    <row r="21" spans="7:15" x14ac:dyDescent="0.25">
      <c r="N21" s="9" t="s">
        <v>4</v>
      </c>
      <c r="O21" s="15">
        <v>340800</v>
      </c>
    </row>
    <row r="22" spans="7:15" x14ac:dyDescent="0.25">
      <c r="N22" s="9" t="s">
        <v>3</v>
      </c>
      <c r="O22" s="15">
        <v>273000</v>
      </c>
    </row>
    <row r="23" spans="7:15" x14ac:dyDescent="0.25">
      <c r="N23" s="9" t="s">
        <v>6</v>
      </c>
      <c r="O23" s="15">
        <v>174100</v>
      </c>
    </row>
    <row r="24" spans="7:15" x14ac:dyDescent="0.25">
      <c r="N24" s="9" t="s">
        <v>11</v>
      </c>
      <c r="O24" s="15">
        <v>167800</v>
      </c>
    </row>
    <row r="25" spans="7:15" x14ac:dyDescent="0.25">
      <c r="N25" s="9" t="s">
        <v>8</v>
      </c>
      <c r="O25" s="15">
        <v>23400</v>
      </c>
    </row>
    <row r="26" spans="7:15" x14ac:dyDescent="0.25">
      <c r="N26" s="9" t="s">
        <v>33</v>
      </c>
      <c r="O26" s="15">
        <v>8182800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2BEB-A729-4438-A3B4-964A48204072}">
  <dimension ref="A1:Y5"/>
  <sheetViews>
    <sheetView showGridLines="0" topLeftCell="A7" workbookViewId="0">
      <selection activeCell="W26" sqref="W26"/>
    </sheetView>
  </sheetViews>
  <sheetFormatPr defaultRowHeight="15" x14ac:dyDescent="0.25"/>
  <cols>
    <col min="18" max="18" width="12.7109375" bestFit="1" customWidth="1"/>
  </cols>
  <sheetData>
    <row r="1" spans="1:25" x14ac:dyDescent="0.25">
      <c r="A1" s="10"/>
      <c r="B1" s="10"/>
      <c r="C1" s="10"/>
      <c r="D1" s="10"/>
      <c r="E1" s="10"/>
      <c r="F1" s="10"/>
      <c r="G1" s="10"/>
      <c r="H1" s="10"/>
      <c r="I1" s="10"/>
      <c r="J1" s="10"/>
      <c r="K1" s="10"/>
      <c r="L1" s="10"/>
      <c r="M1" s="10"/>
      <c r="N1" s="10"/>
      <c r="O1" s="10"/>
      <c r="P1" s="10"/>
      <c r="Q1" s="10"/>
      <c r="R1" s="10"/>
      <c r="S1" s="10"/>
      <c r="T1" s="10"/>
      <c r="U1" s="10"/>
      <c r="V1" s="10"/>
      <c r="W1" s="10"/>
      <c r="X1" s="10"/>
      <c r="Y1" s="10"/>
    </row>
    <row r="2" spans="1:25" ht="46.5" x14ac:dyDescent="0.7">
      <c r="A2" s="10"/>
      <c r="B2" s="10"/>
      <c r="C2" s="10"/>
      <c r="D2" s="12"/>
      <c r="E2" s="12"/>
      <c r="F2" s="13"/>
      <c r="G2" s="13" t="s">
        <v>46</v>
      </c>
      <c r="H2" s="14"/>
      <c r="I2" s="12"/>
      <c r="J2" s="12"/>
      <c r="K2" s="10"/>
      <c r="L2" s="10"/>
      <c r="M2" s="11"/>
      <c r="N2" s="10"/>
      <c r="O2" s="10"/>
      <c r="P2" s="10"/>
      <c r="Q2" s="10"/>
      <c r="R2" s="16" t="s">
        <v>47</v>
      </c>
      <c r="S2" s="10"/>
      <c r="T2" s="10"/>
      <c r="U2" s="10"/>
      <c r="V2" s="10"/>
      <c r="W2" s="10"/>
      <c r="X2" s="10"/>
      <c r="Y2" s="10"/>
    </row>
    <row r="3" spans="1:25" ht="18.75" x14ac:dyDescent="0.3">
      <c r="A3" s="10"/>
      <c r="B3" s="10"/>
      <c r="C3" s="10"/>
      <c r="D3" s="10"/>
      <c r="E3" s="10"/>
      <c r="F3" s="10"/>
      <c r="G3" s="10"/>
      <c r="H3" s="10"/>
      <c r="I3" s="10"/>
      <c r="J3" s="10"/>
      <c r="K3" s="10"/>
      <c r="L3" s="10"/>
      <c r="M3" s="10"/>
      <c r="N3" s="10"/>
      <c r="O3" s="10"/>
      <c r="P3" s="10"/>
      <c r="Q3" s="10"/>
      <c r="R3" s="17"/>
      <c r="S3" s="10"/>
      <c r="T3" s="10"/>
      <c r="U3" s="10"/>
      <c r="V3" s="10"/>
      <c r="W3" s="10"/>
      <c r="X3" s="10"/>
      <c r="Y3" s="10"/>
    </row>
    <row r="4" spans="1:25" x14ac:dyDescent="0.25">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25">
      <c r="A5" s="10"/>
      <c r="B5" s="10"/>
      <c r="C5" s="10"/>
      <c r="D5" s="10"/>
      <c r="E5" s="10"/>
      <c r="F5" s="10"/>
      <c r="G5" s="10"/>
      <c r="H5" s="10"/>
      <c r="I5" s="10"/>
      <c r="J5" s="10"/>
      <c r="K5" s="10"/>
      <c r="L5" s="10"/>
      <c r="M5" s="10"/>
      <c r="N5" s="10"/>
      <c r="O5" s="10"/>
      <c r="P5" s="10"/>
      <c r="Q5" s="10"/>
      <c r="R5" s="10"/>
      <c r="S5" s="10"/>
      <c r="T5" s="10"/>
      <c r="U5" s="10"/>
      <c r="V5" s="10"/>
      <c r="W5" s="10"/>
      <c r="X5" s="10"/>
      <c r="Y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08206-A676-490D-8D4E-4594D590BD9B}">
  <dimension ref="A1:N30"/>
  <sheetViews>
    <sheetView workbookViewId="0">
      <selection activeCell="N3" sqref="N3"/>
    </sheetView>
  </sheetViews>
  <sheetFormatPr defaultRowHeight="15" x14ac:dyDescent="0.25"/>
  <cols>
    <col min="1" max="1" width="10.42578125" bestFit="1" customWidth="1"/>
    <col min="2" max="2" width="16.140625" bestFit="1" customWidth="1"/>
    <col min="3" max="3" width="10.28515625" bestFit="1" customWidth="1"/>
    <col min="4" max="4" width="12.42578125" bestFit="1" customWidth="1"/>
    <col min="5" max="5" width="12.7109375" bestFit="1" customWidth="1"/>
    <col min="6" max="6" width="13.140625" bestFit="1" customWidth="1"/>
    <col min="7" max="7" width="17.85546875" bestFit="1" customWidth="1"/>
    <col min="8" max="8" width="14.42578125" bestFit="1" customWidth="1"/>
    <col min="9" max="9" width="9.5703125" bestFit="1" customWidth="1"/>
    <col min="10" max="10" width="12.85546875" bestFit="1" customWidth="1"/>
    <col min="11" max="11" width="12.85546875" customWidth="1"/>
    <col min="13" max="13" width="10.42578125" bestFit="1" customWidth="1"/>
  </cols>
  <sheetData>
    <row r="1" spans="1:14" x14ac:dyDescent="0.25">
      <c r="A1" t="s">
        <v>0</v>
      </c>
      <c r="B1" t="s">
        <v>1</v>
      </c>
      <c r="C1" t="s">
        <v>13</v>
      </c>
      <c r="D1" t="s">
        <v>18</v>
      </c>
      <c r="E1" t="s">
        <v>27</v>
      </c>
      <c r="F1" t="s">
        <v>28</v>
      </c>
      <c r="G1" t="s">
        <v>29</v>
      </c>
      <c r="H1" t="s">
        <v>30</v>
      </c>
      <c r="I1" t="s">
        <v>31</v>
      </c>
      <c r="J1" t="s">
        <v>39</v>
      </c>
    </row>
    <row r="2" spans="1:14" x14ac:dyDescent="0.25">
      <c r="A2" s="1">
        <v>44246</v>
      </c>
      <c r="B2" t="s">
        <v>2</v>
      </c>
      <c r="C2" t="s">
        <v>35</v>
      </c>
      <c r="D2" t="s">
        <v>19</v>
      </c>
      <c r="E2">
        <v>84</v>
      </c>
      <c r="F2">
        <v>6000</v>
      </c>
      <c r="G2">
        <v>4000</v>
      </c>
      <c r="H2">
        <v>504000</v>
      </c>
      <c r="I2">
        <v>168000</v>
      </c>
      <c r="J2" t="str">
        <f>IF(sale_db[[#This Row],[PROFIT]]&gt;35000,"Profit","Loss")</f>
        <v>Profit</v>
      </c>
      <c r="M2" t="s">
        <v>40</v>
      </c>
      <c r="N2">
        <f>SUM(sale_db[UNIT PRICE])</f>
        <v>76100</v>
      </c>
    </row>
    <row r="3" spans="1:14" x14ac:dyDescent="0.25">
      <c r="A3" s="1">
        <v>44446</v>
      </c>
      <c r="B3" t="s">
        <v>3</v>
      </c>
      <c r="C3" t="s">
        <v>36</v>
      </c>
      <c r="D3" t="s">
        <v>20</v>
      </c>
      <c r="E3">
        <v>128</v>
      </c>
      <c r="F3">
        <v>3500</v>
      </c>
      <c r="G3">
        <v>2500</v>
      </c>
      <c r="H3">
        <v>448000</v>
      </c>
      <c r="I3">
        <v>128000</v>
      </c>
      <c r="J3" t="str">
        <f>IF(sale_db[[#This Row],[PROFIT]]&gt;35000,"Profit","Loss")</f>
        <v>Profit</v>
      </c>
    </row>
    <row r="4" spans="1:14" x14ac:dyDescent="0.25">
      <c r="A4" s="1">
        <v>44230</v>
      </c>
      <c r="B4" t="s">
        <v>4</v>
      </c>
      <c r="C4" t="s">
        <v>37</v>
      </c>
      <c r="D4" t="s">
        <v>21</v>
      </c>
      <c r="E4">
        <v>138</v>
      </c>
      <c r="F4">
        <v>1200</v>
      </c>
      <c r="G4">
        <v>800</v>
      </c>
      <c r="H4">
        <v>163200</v>
      </c>
      <c r="I4">
        <v>52800</v>
      </c>
      <c r="J4" t="str">
        <f>IF(sale_db[[#This Row],[PROFIT]]&gt;35000,"Profit","Loss")</f>
        <v>Profit</v>
      </c>
    </row>
    <row r="5" spans="1:14" x14ac:dyDescent="0.25">
      <c r="A5" s="1">
        <v>44085</v>
      </c>
      <c r="B5" t="s">
        <v>5</v>
      </c>
      <c r="C5" t="s">
        <v>38</v>
      </c>
      <c r="D5" t="s">
        <v>22</v>
      </c>
      <c r="E5">
        <v>91</v>
      </c>
      <c r="F5">
        <v>1000</v>
      </c>
      <c r="G5">
        <v>700</v>
      </c>
      <c r="H5">
        <v>91000</v>
      </c>
      <c r="I5">
        <v>27300</v>
      </c>
      <c r="J5" t="str">
        <f>IF(sale_db[[#This Row],[PROFIT]]&gt;35000,"Profit","Loss")</f>
        <v>Loss</v>
      </c>
    </row>
    <row r="6" spans="1:14" x14ac:dyDescent="0.25">
      <c r="A6" s="1">
        <v>44462</v>
      </c>
      <c r="B6" t="s">
        <v>6</v>
      </c>
      <c r="C6" t="s">
        <v>35</v>
      </c>
      <c r="D6" t="s">
        <v>23</v>
      </c>
      <c r="E6">
        <v>110</v>
      </c>
      <c r="F6">
        <v>4000</v>
      </c>
      <c r="G6">
        <v>3000</v>
      </c>
      <c r="H6">
        <v>440000</v>
      </c>
      <c r="I6">
        <v>110000</v>
      </c>
      <c r="J6" t="str">
        <f>IF(sale_db[[#This Row],[PROFIT]]&gt;35000,"Profit","Loss")</f>
        <v>Profit</v>
      </c>
    </row>
    <row r="7" spans="1:14" x14ac:dyDescent="0.25">
      <c r="A7" s="1">
        <v>44105</v>
      </c>
      <c r="B7" t="s">
        <v>7</v>
      </c>
      <c r="C7" t="s">
        <v>36</v>
      </c>
      <c r="D7" t="s">
        <v>21</v>
      </c>
      <c r="E7">
        <v>51</v>
      </c>
      <c r="F7">
        <v>1200</v>
      </c>
      <c r="G7">
        <v>800</v>
      </c>
      <c r="H7">
        <v>61200</v>
      </c>
      <c r="I7">
        <v>20400</v>
      </c>
      <c r="J7" t="str">
        <f>IF(sale_db[[#This Row],[PROFIT]]&gt;35000,"Profit","Loss")</f>
        <v>Loss</v>
      </c>
    </row>
    <row r="8" spans="1:14" x14ac:dyDescent="0.25">
      <c r="A8" s="1">
        <v>44413</v>
      </c>
      <c r="B8" t="s">
        <v>8</v>
      </c>
      <c r="C8" t="s">
        <v>38</v>
      </c>
      <c r="D8" t="s">
        <v>22</v>
      </c>
      <c r="E8">
        <v>78</v>
      </c>
      <c r="F8">
        <v>1000</v>
      </c>
      <c r="G8">
        <v>700</v>
      </c>
      <c r="H8">
        <v>78000</v>
      </c>
      <c r="I8">
        <v>23400</v>
      </c>
      <c r="J8" t="str">
        <f>IF(sale_db[[#This Row],[PROFIT]]&gt;35000,"Profit","Loss")</f>
        <v>Loss</v>
      </c>
    </row>
    <row r="9" spans="1:14" x14ac:dyDescent="0.25">
      <c r="A9" s="1">
        <v>44141</v>
      </c>
      <c r="B9" t="s">
        <v>9</v>
      </c>
      <c r="C9" t="s">
        <v>37</v>
      </c>
      <c r="D9" t="s">
        <v>19</v>
      </c>
      <c r="E9">
        <v>146</v>
      </c>
      <c r="F9">
        <v>6000</v>
      </c>
      <c r="G9">
        <v>4000</v>
      </c>
      <c r="H9">
        <v>876000</v>
      </c>
      <c r="I9">
        <v>292000</v>
      </c>
      <c r="J9" t="str">
        <f>IF(sale_db[[#This Row],[PROFIT]]&gt;35000,"Profit","Loss")</f>
        <v>Profit</v>
      </c>
    </row>
    <row r="10" spans="1:14" x14ac:dyDescent="0.25">
      <c r="A10" s="1">
        <v>44223</v>
      </c>
      <c r="B10" t="s">
        <v>10</v>
      </c>
      <c r="C10" t="s">
        <v>35</v>
      </c>
      <c r="D10" t="s">
        <v>24</v>
      </c>
      <c r="E10">
        <v>101</v>
      </c>
      <c r="F10">
        <v>600</v>
      </c>
      <c r="G10">
        <v>400</v>
      </c>
      <c r="H10">
        <v>60600</v>
      </c>
      <c r="I10">
        <v>20200</v>
      </c>
      <c r="J10" t="str">
        <f>IF(sale_db[[#This Row],[PROFIT]]&gt;35000,"Profit","Loss")</f>
        <v>Loss</v>
      </c>
    </row>
    <row r="11" spans="1:14" x14ac:dyDescent="0.25">
      <c r="A11" s="1">
        <v>44442</v>
      </c>
      <c r="B11" t="s">
        <v>11</v>
      </c>
      <c r="C11" t="s">
        <v>37</v>
      </c>
      <c r="D11" t="s">
        <v>19</v>
      </c>
      <c r="E11">
        <v>52</v>
      </c>
      <c r="F11">
        <v>6000</v>
      </c>
      <c r="G11">
        <v>4000</v>
      </c>
      <c r="H11">
        <v>312000</v>
      </c>
      <c r="I11">
        <v>104000</v>
      </c>
      <c r="J11" t="str">
        <f>IF(sale_db[[#This Row],[PROFIT]]&gt;35000,"Profit","Loss")</f>
        <v>Profit</v>
      </c>
    </row>
    <row r="12" spans="1:14" x14ac:dyDescent="0.25">
      <c r="A12" s="1">
        <v>44469</v>
      </c>
      <c r="B12" t="s">
        <v>11</v>
      </c>
      <c r="C12" t="s">
        <v>36</v>
      </c>
      <c r="D12" t="s">
        <v>21</v>
      </c>
      <c r="E12">
        <v>55</v>
      </c>
      <c r="F12">
        <v>1200</v>
      </c>
      <c r="G12">
        <v>800</v>
      </c>
      <c r="H12">
        <v>66000</v>
      </c>
      <c r="I12">
        <v>22000</v>
      </c>
      <c r="J12" t="str">
        <f>IF(sale_db[[#This Row],[PROFIT]]&gt;35000,"Profit","Loss")</f>
        <v>Loss</v>
      </c>
    </row>
    <row r="13" spans="1:14" x14ac:dyDescent="0.25">
      <c r="A13" s="1">
        <v>44084</v>
      </c>
      <c r="B13" t="s">
        <v>11</v>
      </c>
      <c r="C13" t="s">
        <v>37</v>
      </c>
      <c r="D13" t="s">
        <v>22</v>
      </c>
      <c r="E13">
        <v>136</v>
      </c>
      <c r="F13">
        <v>1000</v>
      </c>
      <c r="G13">
        <v>700</v>
      </c>
      <c r="H13">
        <v>137000</v>
      </c>
      <c r="I13">
        <v>41800</v>
      </c>
      <c r="J13" t="str">
        <f>IF(sale_db[[#This Row],[PROFIT]]&gt;35000,"Profit","Loss")</f>
        <v>Profit</v>
      </c>
    </row>
    <row r="14" spans="1:14" x14ac:dyDescent="0.25">
      <c r="A14" s="1">
        <v>44404</v>
      </c>
      <c r="B14" t="s">
        <v>9</v>
      </c>
      <c r="C14" t="s">
        <v>37</v>
      </c>
      <c r="D14" t="s">
        <v>20</v>
      </c>
      <c r="E14">
        <v>96</v>
      </c>
      <c r="F14">
        <v>3500</v>
      </c>
      <c r="G14">
        <v>2500</v>
      </c>
      <c r="H14">
        <v>336000</v>
      </c>
      <c r="I14">
        <v>96000</v>
      </c>
      <c r="J14" t="str">
        <f>IF(sale_db[[#This Row],[PROFIT]]&gt;35000,"Profit","Loss")</f>
        <v>Profit</v>
      </c>
    </row>
    <row r="15" spans="1:14" x14ac:dyDescent="0.25">
      <c r="A15" s="1">
        <v>44113</v>
      </c>
      <c r="B15" t="s">
        <v>10</v>
      </c>
      <c r="C15" t="s">
        <v>36</v>
      </c>
      <c r="D15" t="s">
        <v>25</v>
      </c>
      <c r="E15">
        <v>52</v>
      </c>
      <c r="F15">
        <v>4000</v>
      </c>
      <c r="G15">
        <v>3000</v>
      </c>
      <c r="H15">
        <v>208000</v>
      </c>
      <c r="I15">
        <v>52000</v>
      </c>
      <c r="J15" t="str">
        <f>IF(sale_db[[#This Row],[PROFIT]]&gt;35000,"Profit","Loss")</f>
        <v>Profit</v>
      </c>
    </row>
    <row r="16" spans="1:14" x14ac:dyDescent="0.25">
      <c r="A16" s="1">
        <v>44292</v>
      </c>
      <c r="B16" t="s">
        <v>5</v>
      </c>
      <c r="C16" t="s">
        <v>35</v>
      </c>
      <c r="D16" t="s">
        <v>20</v>
      </c>
      <c r="E16">
        <v>76</v>
      </c>
      <c r="F16">
        <v>3500</v>
      </c>
      <c r="G16">
        <v>2500</v>
      </c>
      <c r="H16">
        <v>266000</v>
      </c>
      <c r="I16">
        <v>76000</v>
      </c>
      <c r="J16" t="str">
        <f>IF(sale_db[[#This Row],[PROFIT]]&gt;35000,"Profit","Loss")</f>
        <v>Profit</v>
      </c>
    </row>
    <row r="17" spans="1:10" x14ac:dyDescent="0.25">
      <c r="A17" s="1">
        <v>44362</v>
      </c>
      <c r="B17" t="s">
        <v>3</v>
      </c>
      <c r="C17" t="s">
        <v>38</v>
      </c>
      <c r="D17" t="s">
        <v>25</v>
      </c>
      <c r="E17">
        <v>145</v>
      </c>
      <c r="F17">
        <v>4000</v>
      </c>
      <c r="G17">
        <v>3000</v>
      </c>
      <c r="H17">
        <v>580000</v>
      </c>
      <c r="I17">
        <v>145000</v>
      </c>
      <c r="J17" t="str">
        <f>IF(sale_db[[#This Row],[PROFIT]]&gt;35000,"Profit","Loss")</f>
        <v>Profit</v>
      </c>
    </row>
    <row r="18" spans="1:10" x14ac:dyDescent="0.25">
      <c r="A18" s="1">
        <v>44083</v>
      </c>
      <c r="B18" t="s">
        <v>12</v>
      </c>
      <c r="C18" t="s">
        <v>37</v>
      </c>
      <c r="D18" t="s">
        <v>24</v>
      </c>
      <c r="E18">
        <v>83</v>
      </c>
      <c r="F18">
        <v>600</v>
      </c>
      <c r="G18">
        <v>400</v>
      </c>
      <c r="H18">
        <v>4500000</v>
      </c>
      <c r="I18">
        <v>4466800</v>
      </c>
      <c r="J18" t="str">
        <f>IF(sale_db[[#This Row],[PROFIT]]&gt;35000,"Profit","Loss")</f>
        <v>Profit</v>
      </c>
    </row>
    <row r="19" spans="1:10" x14ac:dyDescent="0.25">
      <c r="A19" s="1">
        <v>44421</v>
      </c>
      <c r="B19" t="s">
        <v>6</v>
      </c>
      <c r="C19" t="s">
        <v>37</v>
      </c>
      <c r="D19" t="s">
        <v>22</v>
      </c>
      <c r="E19">
        <v>91</v>
      </c>
      <c r="F19">
        <v>1000</v>
      </c>
      <c r="G19">
        <v>700</v>
      </c>
      <c r="H19">
        <v>91000</v>
      </c>
      <c r="I19">
        <v>27300</v>
      </c>
      <c r="J19" t="str">
        <f>IF(sale_db[[#This Row],[PROFIT]]&gt;35000,"Profit","Loss")</f>
        <v>Loss</v>
      </c>
    </row>
    <row r="20" spans="1:10" x14ac:dyDescent="0.25">
      <c r="A20" s="1">
        <v>44070</v>
      </c>
      <c r="B20" t="s">
        <v>7</v>
      </c>
      <c r="C20" t="s">
        <v>35</v>
      </c>
      <c r="D20" t="s">
        <v>26</v>
      </c>
      <c r="E20">
        <v>108</v>
      </c>
      <c r="F20">
        <v>2000</v>
      </c>
      <c r="G20">
        <v>7000</v>
      </c>
      <c r="H20">
        <v>1080000</v>
      </c>
      <c r="I20">
        <v>324000</v>
      </c>
      <c r="J20" t="str">
        <f>IF(sale_db[[#This Row],[PROFIT]]&gt;35000,"Profit","Loss")</f>
        <v>Profit</v>
      </c>
    </row>
    <row r="21" spans="1:10" x14ac:dyDescent="0.25">
      <c r="A21" s="1">
        <v>44293</v>
      </c>
      <c r="B21" t="s">
        <v>4</v>
      </c>
      <c r="C21" t="s">
        <v>38</v>
      </c>
      <c r="D21" t="s">
        <v>25</v>
      </c>
      <c r="E21">
        <v>144</v>
      </c>
      <c r="F21">
        <v>4000</v>
      </c>
      <c r="G21">
        <v>3000</v>
      </c>
      <c r="H21">
        <v>576000</v>
      </c>
      <c r="I21">
        <v>144000</v>
      </c>
      <c r="J21" t="str">
        <f>IF(sale_db[[#This Row],[PROFIT]]&gt;35000,"Profit","Loss")</f>
        <v>Profit</v>
      </c>
    </row>
    <row r="22" spans="1:10" x14ac:dyDescent="0.25">
      <c r="A22" s="1">
        <v>43990</v>
      </c>
      <c r="B22" t="s">
        <v>6</v>
      </c>
      <c r="C22" t="s">
        <v>37</v>
      </c>
      <c r="D22" t="s">
        <v>24</v>
      </c>
      <c r="E22">
        <v>92</v>
      </c>
      <c r="F22">
        <v>600</v>
      </c>
      <c r="G22">
        <v>400</v>
      </c>
      <c r="H22">
        <v>55200</v>
      </c>
      <c r="I22">
        <v>18400</v>
      </c>
      <c r="J22" t="str">
        <f>IF(sale_db[[#This Row],[PROFIT]]&gt;35000,"Profit","Loss")</f>
        <v>Loss</v>
      </c>
    </row>
    <row r="23" spans="1:10" x14ac:dyDescent="0.25">
      <c r="A23" s="1">
        <v>44551</v>
      </c>
      <c r="B23" t="s">
        <v>9</v>
      </c>
      <c r="C23" t="s">
        <v>35</v>
      </c>
      <c r="D23" t="s">
        <v>19</v>
      </c>
      <c r="E23">
        <v>71</v>
      </c>
      <c r="F23">
        <v>6000</v>
      </c>
      <c r="G23">
        <v>4000</v>
      </c>
      <c r="H23">
        <v>426000</v>
      </c>
      <c r="I23">
        <v>142000</v>
      </c>
      <c r="J23" t="str">
        <f>IF(sale_db[[#This Row],[PROFIT]]&gt;35000,"Profit","Loss")</f>
        <v>Profit</v>
      </c>
    </row>
    <row r="24" spans="1:10" x14ac:dyDescent="0.25">
      <c r="A24" s="1">
        <v>44418</v>
      </c>
      <c r="B24" t="s">
        <v>2</v>
      </c>
      <c r="C24" t="s">
        <v>36</v>
      </c>
      <c r="D24" t="s">
        <v>24</v>
      </c>
      <c r="E24">
        <v>103</v>
      </c>
      <c r="F24">
        <v>600</v>
      </c>
      <c r="G24">
        <v>400</v>
      </c>
      <c r="H24">
        <v>61800</v>
      </c>
      <c r="I24">
        <v>20600</v>
      </c>
      <c r="J24" t="str">
        <f>IF(sale_db[[#This Row],[PROFIT]]&gt;35000,"Profit","Loss")</f>
        <v>Loss</v>
      </c>
    </row>
    <row r="25" spans="1:10" x14ac:dyDescent="0.25">
      <c r="A25" s="1">
        <v>44058</v>
      </c>
      <c r="B25" t="s">
        <v>9</v>
      </c>
      <c r="C25" t="s">
        <v>36</v>
      </c>
      <c r="D25" t="s">
        <v>19</v>
      </c>
      <c r="E25">
        <v>114</v>
      </c>
      <c r="F25">
        <v>1200</v>
      </c>
      <c r="G25">
        <v>4000</v>
      </c>
      <c r="H25">
        <v>1123900</v>
      </c>
      <c r="I25">
        <v>667900</v>
      </c>
      <c r="J25" t="str">
        <f>IF(sale_db[[#This Row],[PROFIT]]&gt;35000,"Profit","Loss")</f>
        <v>Profit</v>
      </c>
    </row>
    <row r="26" spans="1:10" x14ac:dyDescent="0.25">
      <c r="A26" s="1">
        <v>44293</v>
      </c>
      <c r="B26" t="s">
        <v>4</v>
      </c>
      <c r="C26" t="s">
        <v>38</v>
      </c>
      <c r="D26" t="s">
        <v>25</v>
      </c>
      <c r="E26">
        <v>144</v>
      </c>
      <c r="F26">
        <v>4000</v>
      </c>
      <c r="G26">
        <v>3000</v>
      </c>
      <c r="H26">
        <v>576000</v>
      </c>
      <c r="I26">
        <v>144000</v>
      </c>
      <c r="J26" t="str">
        <f>IF(sale_db[[#This Row],[PROFIT]]&gt;35000,"Profit","Loss")</f>
        <v>Profit</v>
      </c>
    </row>
    <row r="27" spans="1:10" x14ac:dyDescent="0.25">
      <c r="A27" s="1">
        <v>43990</v>
      </c>
      <c r="B27" t="s">
        <v>6</v>
      </c>
      <c r="C27" t="s">
        <v>37</v>
      </c>
      <c r="D27" t="s">
        <v>24</v>
      </c>
      <c r="E27">
        <v>92</v>
      </c>
      <c r="F27">
        <v>600</v>
      </c>
      <c r="G27">
        <v>400</v>
      </c>
      <c r="H27">
        <v>55200</v>
      </c>
      <c r="I27">
        <v>18400</v>
      </c>
      <c r="J27" t="str">
        <f>IF(sale_db[[#This Row],[PROFIT]]&gt;35000,"Profit","Loss")</f>
        <v>Loss</v>
      </c>
    </row>
    <row r="28" spans="1:10" x14ac:dyDescent="0.25">
      <c r="A28" s="1">
        <v>44551</v>
      </c>
      <c r="B28" t="s">
        <v>9</v>
      </c>
      <c r="C28" t="s">
        <v>35</v>
      </c>
      <c r="D28" t="s">
        <v>19</v>
      </c>
      <c r="E28">
        <v>71</v>
      </c>
      <c r="F28">
        <v>6000</v>
      </c>
      <c r="G28">
        <v>4000</v>
      </c>
      <c r="H28">
        <v>426000</v>
      </c>
      <c r="I28">
        <v>142000</v>
      </c>
      <c r="J28" t="str">
        <f>IF(sale_db[[#This Row],[PROFIT]]&gt;35000,"Profit","Loss")</f>
        <v>Profit</v>
      </c>
    </row>
    <row r="29" spans="1:10" x14ac:dyDescent="0.25">
      <c r="A29" s="1">
        <v>44418</v>
      </c>
      <c r="B29" t="s">
        <v>2</v>
      </c>
      <c r="C29" t="s">
        <v>36</v>
      </c>
      <c r="D29" t="s">
        <v>24</v>
      </c>
      <c r="E29">
        <v>103</v>
      </c>
      <c r="F29">
        <v>600</v>
      </c>
      <c r="G29">
        <v>400</v>
      </c>
      <c r="H29">
        <v>61800</v>
      </c>
      <c r="I29">
        <v>20600</v>
      </c>
      <c r="J29" t="str">
        <f>IF(sale_db[[#This Row],[PROFIT]]&gt;35000,"Profit","Loss")</f>
        <v>Loss</v>
      </c>
    </row>
    <row r="30" spans="1:10" x14ac:dyDescent="0.25">
      <c r="A30" s="1">
        <v>44058</v>
      </c>
      <c r="B30" t="s">
        <v>9</v>
      </c>
      <c r="C30" t="s">
        <v>36</v>
      </c>
      <c r="D30" t="s">
        <v>19</v>
      </c>
      <c r="E30">
        <v>114</v>
      </c>
      <c r="F30">
        <v>1200</v>
      </c>
      <c r="G30">
        <v>4000</v>
      </c>
      <c r="H30">
        <v>1123900</v>
      </c>
      <c r="I30">
        <v>667900</v>
      </c>
      <c r="J30" t="str">
        <f>IF(sale_db[[#This Row],[PROFIT]]&gt;35000,"Profit","Loss")</f>
        <v>Profit</v>
      </c>
    </row>
  </sheetData>
  <conditionalFormatting sqref="H1:H1048576">
    <cfRule type="colorScale" priority="1">
      <colorScale>
        <cfvo type="min"/>
        <cfvo type="percentile" val="50"/>
        <cfvo type="max"/>
        <color rgb="FF63BE7B"/>
        <color rgb="FFFFEB84"/>
        <color rgb="FFF8696B"/>
      </colorScale>
    </cfRule>
    <cfRule type="colorScale" priority="2">
      <colorScale>
        <cfvo type="num" val="0"/>
        <cfvo type="num" val="0"/>
        <color rgb="FFFF7128"/>
        <color theme="5"/>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CCD5E-8B1B-4B92-8F7F-95E9F4A83DF4}">
  <sheetPr codeName="Sheet3"/>
  <dimension ref="A1:O30"/>
  <sheetViews>
    <sheetView tabSelected="1" workbookViewId="0">
      <selection activeCell="N9" sqref="N9"/>
    </sheetView>
  </sheetViews>
  <sheetFormatPr defaultRowHeight="15" x14ac:dyDescent="0.25"/>
  <cols>
    <col min="1" max="1" width="10.42578125" bestFit="1" customWidth="1"/>
    <col min="2" max="2" width="15.85546875" customWidth="1"/>
    <col min="3" max="3" width="10.140625" customWidth="1"/>
    <col min="4" max="4" width="12.28515625" customWidth="1"/>
    <col min="5" max="5" width="13.42578125" customWidth="1"/>
    <col min="6" max="6" width="13" customWidth="1"/>
    <col min="7" max="7" width="18.42578125" customWidth="1"/>
    <col min="8" max="8" width="18.7109375" customWidth="1"/>
    <col min="9" max="9" width="14.28515625" bestFit="1" customWidth="1"/>
    <col min="10" max="10" width="14.7109375" customWidth="1"/>
    <col min="11" max="11" width="23.5703125" bestFit="1" customWidth="1"/>
    <col min="14" max="14" width="10" bestFit="1" customWidth="1"/>
  </cols>
  <sheetData>
    <row r="1" spans="1:15" x14ac:dyDescent="0.25">
      <c r="A1" s="2" t="s">
        <v>0</v>
      </c>
      <c r="B1" s="2" t="s">
        <v>1</v>
      </c>
      <c r="C1" s="2" t="s">
        <v>13</v>
      </c>
      <c r="D1" s="2" t="s">
        <v>18</v>
      </c>
      <c r="E1" s="5" t="s">
        <v>27</v>
      </c>
      <c r="F1" s="3" t="s">
        <v>28</v>
      </c>
      <c r="G1" s="5" t="s">
        <v>29</v>
      </c>
      <c r="H1" s="5" t="s">
        <v>30</v>
      </c>
      <c r="I1" s="5" t="s">
        <v>31</v>
      </c>
      <c r="K1" s="2"/>
    </row>
    <row r="2" spans="1:15" x14ac:dyDescent="0.25">
      <c r="A2" s="1">
        <v>44246</v>
      </c>
      <c r="B2" t="s">
        <v>2</v>
      </c>
      <c r="C2" t="s">
        <v>14</v>
      </c>
      <c r="D2" t="s">
        <v>19</v>
      </c>
      <c r="E2" s="6">
        <v>84</v>
      </c>
      <c r="F2" s="4">
        <v>6000</v>
      </c>
      <c r="G2" s="4">
        <v>4000</v>
      </c>
      <c r="H2" s="4">
        <v>504000</v>
      </c>
      <c r="I2" s="4">
        <f t="shared" ref="I2:I25" si="0">H2-(G2*E2)</f>
        <v>168000</v>
      </c>
      <c r="K2" s="7"/>
    </row>
    <row r="3" spans="1:15" ht="15.75" x14ac:dyDescent="0.25">
      <c r="A3" s="1">
        <v>44446</v>
      </c>
      <c r="B3" t="s">
        <v>3</v>
      </c>
      <c r="C3" t="s">
        <v>15</v>
      </c>
      <c r="D3" t="s">
        <v>20</v>
      </c>
      <c r="E3" s="6">
        <v>128</v>
      </c>
      <c r="F3" s="4">
        <v>3500</v>
      </c>
      <c r="G3" s="4">
        <v>2500</v>
      </c>
      <c r="H3" s="4">
        <v>448000</v>
      </c>
      <c r="I3" s="4">
        <f t="shared" si="0"/>
        <v>128000</v>
      </c>
      <c r="K3" s="18" t="s">
        <v>48</v>
      </c>
    </row>
    <row r="4" spans="1:15" ht="15.75" x14ac:dyDescent="0.25">
      <c r="A4" s="1">
        <v>44230</v>
      </c>
      <c r="B4" t="s">
        <v>4</v>
      </c>
      <c r="C4" t="s">
        <v>16</v>
      </c>
      <c r="D4" t="s">
        <v>21</v>
      </c>
      <c r="E4" s="6">
        <v>138</v>
      </c>
      <c r="F4" s="4">
        <v>1200</v>
      </c>
      <c r="G4" s="4">
        <v>800</v>
      </c>
      <c r="H4" s="4">
        <v>163200</v>
      </c>
      <c r="I4" s="4">
        <f t="shared" si="0"/>
        <v>52800</v>
      </c>
      <c r="K4" s="19" t="s">
        <v>49</v>
      </c>
      <c r="L4">
        <f>AVERAGE(sale_db[TOTAL SALES])</f>
        <v>509786.20689655171</v>
      </c>
    </row>
    <row r="5" spans="1:15" ht="15.75" x14ac:dyDescent="0.25">
      <c r="A5" s="1">
        <v>44085</v>
      </c>
      <c r="B5" t="s">
        <v>5</v>
      </c>
      <c r="C5" t="s">
        <v>17</v>
      </c>
      <c r="D5" t="s">
        <v>22</v>
      </c>
      <c r="E5">
        <v>91</v>
      </c>
      <c r="F5" s="4">
        <v>1000</v>
      </c>
      <c r="G5" s="4">
        <v>700</v>
      </c>
      <c r="H5" s="4">
        <v>91000</v>
      </c>
      <c r="I5" s="4">
        <f t="shared" si="0"/>
        <v>27300</v>
      </c>
      <c r="K5" s="18" t="s">
        <v>50</v>
      </c>
      <c r="L5">
        <f>MEDIAN(sale_db[TOTAL SALES])</f>
        <v>312000</v>
      </c>
    </row>
    <row r="6" spans="1:15" ht="15.75" x14ac:dyDescent="0.25">
      <c r="A6" s="1">
        <v>44462</v>
      </c>
      <c r="B6" t="s">
        <v>6</v>
      </c>
      <c r="C6" t="s">
        <v>14</v>
      </c>
      <c r="D6" t="s">
        <v>23</v>
      </c>
      <c r="E6">
        <v>110</v>
      </c>
      <c r="F6" s="4">
        <v>4000</v>
      </c>
      <c r="G6" s="4">
        <v>3000</v>
      </c>
      <c r="H6" s="4">
        <v>440000</v>
      </c>
      <c r="I6" s="4">
        <f t="shared" si="0"/>
        <v>110000</v>
      </c>
      <c r="K6" s="20" t="s">
        <v>54</v>
      </c>
      <c r="L6">
        <f>_xlfn.MODE.MULT(sale_db[UNIT PRICE])</f>
        <v>600</v>
      </c>
      <c r="N6" s="2" t="s">
        <v>55</v>
      </c>
      <c r="O6">
        <f>_xlfn.MODE.SNGL(sale_db[UNIT PRICE])</f>
        <v>600</v>
      </c>
    </row>
    <row r="7" spans="1:15" ht="15.75" x14ac:dyDescent="0.25">
      <c r="A7" s="1">
        <v>44105</v>
      </c>
      <c r="B7" t="s">
        <v>7</v>
      </c>
      <c r="C7" t="s">
        <v>15</v>
      </c>
      <c r="D7" t="s">
        <v>21</v>
      </c>
      <c r="E7">
        <v>51</v>
      </c>
      <c r="F7" s="4">
        <v>1200</v>
      </c>
      <c r="G7" s="4">
        <v>800</v>
      </c>
      <c r="H7" s="4">
        <v>61200</v>
      </c>
      <c r="I7" s="4">
        <f t="shared" si="0"/>
        <v>20400</v>
      </c>
      <c r="K7" s="18" t="s">
        <v>51</v>
      </c>
      <c r="L7">
        <f>MIN(sale_db[TOTAL SALES])</f>
        <v>55200</v>
      </c>
    </row>
    <row r="8" spans="1:15" ht="15.75" x14ac:dyDescent="0.25">
      <c r="A8" s="1">
        <v>44413</v>
      </c>
      <c r="B8" t="s">
        <v>8</v>
      </c>
      <c r="C8" t="s">
        <v>17</v>
      </c>
      <c r="D8" t="s">
        <v>22</v>
      </c>
      <c r="E8">
        <v>78</v>
      </c>
      <c r="F8" s="4">
        <v>1000</v>
      </c>
      <c r="G8" s="4">
        <v>700</v>
      </c>
      <c r="H8" s="4">
        <v>78000</v>
      </c>
      <c r="I8" s="4">
        <f t="shared" si="0"/>
        <v>23400</v>
      </c>
      <c r="K8" s="20" t="s">
        <v>52</v>
      </c>
      <c r="L8">
        <f>MAX(sale_db[TOTAL SALES])</f>
        <v>4500000</v>
      </c>
    </row>
    <row r="9" spans="1:15" ht="15.75" x14ac:dyDescent="0.25">
      <c r="A9" s="1">
        <v>44141</v>
      </c>
      <c r="B9" t="s">
        <v>9</v>
      </c>
      <c r="C9" t="s">
        <v>16</v>
      </c>
      <c r="D9" t="s">
        <v>19</v>
      </c>
      <c r="E9">
        <v>146</v>
      </c>
      <c r="F9" s="4">
        <v>6000</v>
      </c>
      <c r="G9" s="4">
        <v>4000</v>
      </c>
      <c r="H9" s="4">
        <v>876000</v>
      </c>
      <c r="I9" s="4">
        <f t="shared" si="0"/>
        <v>292000</v>
      </c>
      <c r="K9" s="19" t="s">
        <v>53</v>
      </c>
      <c r="L9">
        <f>_xlfn.STDEV.P(sale_db[TOTAL SALES])</f>
        <v>822161.58942150488</v>
      </c>
      <c r="N9" s="2" t="s">
        <v>56</v>
      </c>
      <c r="O9">
        <f>_xlfn.STDEV.S(sale_db[TOTAL SALES])</f>
        <v>836714.25175424735</v>
      </c>
    </row>
    <row r="10" spans="1:15" x14ac:dyDescent="0.25">
      <c r="A10" s="1">
        <v>44223</v>
      </c>
      <c r="B10" t="s">
        <v>10</v>
      </c>
      <c r="C10" t="s">
        <v>14</v>
      </c>
      <c r="D10" t="s">
        <v>24</v>
      </c>
      <c r="E10">
        <v>101</v>
      </c>
      <c r="F10" s="4">
        <v>600</v>
      </c>
      <c r="G10" s="4">
        <v>400</v>
      </c>
      <c r="H10" s="4">
        <v>60600</v>
      </c>
      <c r="I10" s="4">
        <f t="shared" si="0"/>
        <v>20200</v>
      </c>
    </row>
    <row r="11" spans="1:15" x14ac:dyDescent="0.25">
      <c r="A11" s="1">
        <v>44442</v>
      </c>
      <c r="B11" t="s">
        <v>11</v>
      </c>
      <c r="C11" t="s">
        <v>16</v>
      </c>
      <c r="D11" t="s">
        <v>19</v>
      </c>
      <c r="E11">
        <v>52</v>
      </c>
      <c r="F11" s="4">
        <v>6000</v>
      </c>
      <c r="G11" s="4">
        <v>4000</v>
      </c>
      <c r="H11" s="4">
        <v>312000</v>
      </c>
      <c r="I11" s="4">
        <f t="shared" si="0"/>
        <v>104000</v>
      </c>
    </row>
    <row r="12" spans="1:15" x14ac:dyDescent="0.25">
      <c r="A12" s="1">
        <v>44469</v>
      </c>
      <c r="B12" t="s">
        <v>11</v>
      </c>
      <c r="C12" t="s">
        <v>15</v>
      </c>
      <c r="D12" t="s">
        <v>21</v>
      </c>
      <c r="E12">
        <v>55</v>
      </c>
      <c r="F12" s="4">
        <v>1200</v>
      </c>
      <c r="G12" s="4">
        <v>800</v>
      </c>
      <c r="H12" s="4">
        <v>66000</v>
      </c>
      <c r="I12" s="4">
        <f t="shared" si="0"/>
        <v>22000</v>
      </c>
    </row>
    <row r="13" spans="1:15" x14ac:dyDescent="0.25">
      <c r="A13" s="1">
        <v>44084</v>
      </c>
      <c r="B13" t="s">
        <v>11</v>
      </c>
      <c r="C13" t="s">
        <v>16</v>
      </c>
      <c r="D13" t="s">
        <v>22</v>
      </c>
      <c r="E13">
        <v>136</v>
      </c>
      <c r="F13" s="4">
        <v>1000</v>
      </c>
      <c r="G13" s="4">
        <v>700</v>
      </c>
      <c r="H13" s="4">
        <v>137000</v>
      </c>
      <c r="I13" s="4">
        <f t="shared" si="0"/>
        <v>41800</v>
      </c>
    </row>
    <row r="14" spans="1:15" x14ac:dyDescent="0.25">
      <c r="A14" s="1">
        <v>44404</v>
      </c>
      <c r="B14" t="s">
        <v>9</v>
      </c>
      <c r="C14" t="s">
        <v>16</v>
      </c>
      <c r="D14" t="s">
        <v>20</v>
      </c>
      <c r="E14">
        <v>96</v>
      </c>
      <c r="F14" s="4">
        <v>3500</v>
      </c>
      <c r="G14" s="4">
        <v>2500</v>
      </c>
      <c r="H14" s="4">
        <v>336000</v>
      </c>
      <c r="I14" s="4">
        <f t="shared" si="0"/>
        <v>96000</v>
      </c>
    </row>
    <row r="15" spans="1:15" x14ac:dyDescent="0.25">
      <c r="A15" s="1">
        <v>44113</v>
      </c>
      <c r="B15" t="s">
        <v>10</v>
      </c>
      <c r="C15" t="s">
        <v>15</v>
      </c>
      <c r="D15" t="s">
        <v>25</v>
      </c>
      <c r="E15">
        <v>52</v>
      </c>
      <c r="F15" s="4">
        <v>4000</v>
      </c>
      <c r="G15" s="4">
        <v>3000</v>
      </c>
      <c r="H15" s="4">
        <v>208000</v>
      </c>
      <c r="I15" s="4">
        <f t="shared" si="0"/>
        <v>52000</v>
      </c>
    </row>
    <row r="16" spans="1:15" x14ac:dyDescent="0.25">
      <c r="A16" s="1">
        <v>44292</v>
      </c>
      <c r="B16" t="s">
        <v>5</v>
      </c>
      <c r="C16" t="s">
        <v>14</v>
      </c>
      <c r="D16" t="s">
        <v>20</v>
      </c>
      <c r="E16">
        <v>76</v>
      </c>
      <c r="F16" s="4">
        <v>3500</v>
      </c>
      <c r="G16" s="4">
        <v>2500</v>
      </c>
      <c r="H16" s="4">
        <v>266000</v>
      </c>
      <c r="I16" s="4">
        <f t="shared" si="0"/>
        <v>76000</v>
      </c>
    </row>
    <row r="17" spans="1:9" x14ac:dyDescent="0.25">
      <c r="A17" s="1">
        <v>44362</v>
      </c>
      <c r="B17" t="s">
        <v>3</v>
      </c>
      <c r="C17" t="s">
        <v>17</v>
      </c>
      <c r="D17" t="s">
        <v>25</v>
      </c>
      <c r="E17">
        <v>145</v>
      </c>
      <c r="F17" s="4">
        <v>4000</v>
      </c>
      <c r="G17" s="4">
        <v>3000</v>
      </c>
      <c r="H17" s="4">
        <v>580000</v>
      </c>
      <c r="I17" s="4">
        <f t="shared" si="0"/>
        <v>145000</v>
      </c>
    </row>
    <row r="18" spans="1:9" x14ac:dyDescent="0.25">
      <c r="A18" s="1">
        <v>44083</v>
      </c>
      <c r="B18" t="s">
        <v>12</v>
      </c>
      <c r="C18" t="s">
        <v>16</v>
      </c>
      <c r="D18" t="s">
        <v>24</v>
      </c>
      <c r="E18">
        <v>83</v>
      </c>
      <c r="F18" s="4">
        <v>600</v>
      </c>
      <c r="G18" s="4">
        <v>400</v>
      </c>
      <c r="H18" s="4">
        <v>4500000</v>
      </c>
      <c r="I18" s="4">
        <f t="shared" si="0"/>
        <v>4466800</v>
      </c>
    </row>
    <row r="19" spans="1:9" x14ac:dyDescent="0.25">
      <c r="A19" s="1">
        <v>44421</v>
      </c>
      <c r="B19" t="s">
        <v>6</v>
      </c>
      <c r="C19" t="s">
        <v>16</v>
      </c>
      <c r="D19" t="s">
        <v>22</v>
      </c>
      <c r="E19">
        <v>91</v>
      </c>
      <c r="F19" s="4">
        <v>1000</v>
      </c>
      <c r="G19" s="4">
        <v>700</v>
      </c>
      <c r="H19" s="4">
        <v>91000</v>
      </c>
      <c r="I19" s="4">
        <f t="shared" si="0"/>
        <v>27300</v>
      </c>
    </row>
    <row r="20" spans="1:9" x14ac:dyDescent="0.25">
      <c r="A20" s="1">
        <v>44070</v>
      </c>
      <c r="B20" t="s">
        <v>7</v>
      </c>
      <c r="C20" t="s">
        <v>14</v>
      </c>
      <c r="D20" t="s">
        <v>26</v>
      </c>
      <c r="E20">
        <v>108</v>
      </c>
      <c r="F20" s="4">
        <v>2000</v>
      </c>
      <c r="G20" s="4">
        <v>7000</v>
      </c>
      <c r="H20" s="4">
        <v>1080000</v>
      </c>
      <c r="I20" s="4">
        <f t="shared" si="0"/>
        <v>324000</v>
      </c>
    </row>
    <row r="21" spans="1:9" x14ac:dyDescent="0.25">
      <c r="A21" s="1">
        <v>44293</v>
      </c>
      <c r="B21" t="s">
        <v>4</v>
      </c>
      <c r="C21" t="s">
        <v>17</v>
      </c>
      <c r="D21" t="s">
        <v>25</v>
      </c>
      <c r="E21">
        <v>144</v>
      </c>
      <c r="F21" s="4">
        <v>4000</v>
      </c>
      <c r="G21" s="4">
        <v>3000</v>
      </c>
      <c r="H21" s="4">
        <v>576000</v>
      </c>
      <c r="I21" s="4">
        <f t="shared" si="0"/>
        <v>144000</v>
      </c>
    </row>
    <row r="22" spans="1:9" x14ac:dyDescent="0.25">
      <c r="A22" s="1">
        <v>43990</v>
      </c>
      <c r="B22" t="s">
        <v>6</v>
      </c>
      <c r="C22" t="s">
        <v>16</v>
      </c>
      <c r="D22" t="s">
        <v>24</v>
      </c>
      <c r="E22">
        <v>92</v>
      </c>
      <c r="F22" s="4">
        <v>600</v>
      </c>
      <c r="G22" s="4">
        <v>400</v>
      </c>
      <c r="H22" s="4">
        <v>55200</v>
      </c>
      <c r="I22" s="4">
        <f t="shared" si="0"/>
        <v>18400</v>
      </c>
    </row>
    <row r="23" spans="1:9" x14ac:dyDescent="0.25">
      <c r="A23" s="1">
        <v>44551</v>
      </c>
      <c r="B23" t="s">
        <v>9</v>
      </c>
      <c r="C23" t="s">
        <v>14</v>
      </c>
      <c r="D23" t="s">
        <v>19</v>
      </c>
      <c r="E23">
        <v>71</v>
      </c>
      <c r="F23" s="4">
        <v>6000</v>
      </c>
      <c r="G23" s="4">
        <v>4000</v>
      </c>
      <c r="H23" s="4">
        <v>426000</v>
      </c>
      <c r="I23" s="4">
        <f t="shared" si="0"/>
        <v>142000</v>
      </c>
    </row>
    <row r="24" spans="1:9" x14ac:dyDescent="0.25">
      <c r="A24" s="1">
        <v>44418</v>
      </c>
      <c r="B24" t="s">
        <v>2</v>
      </c>
      <c r="C24" t="s">
        <v>15</v>
      </c>
      <c r="D24" t="s">
        <v>24</v>
      </c>
      <c r="E24">
        <v>103</v>
      </c>
      <c r="F24" s="4">
        <v>600</v>
      </c>
      <c r="G24" s="4">
        <v>400</v>
      </c>
      <c r="H24" s="4">
        <v>61800</v>
      </c>
      <c r="I24" s="4">
        <f t="shared" si="0"/>
        <v>20600</v>
      </c>
    </row>
    <row r="25" spans="1:9" x14ac:dyDescent="0.25">
      <c r="A25" s="1">
        <v>44058</v>
      </c>
      <c r="B25" t="s">
        <v>9</v>
      </c>
      <c r="C25" t="s">
        <v>15</v>
      </c>
      <c r="D25" t="s">
        <v>19</v>
      </c>
      <c r="E25">
        <v>114</v>
      </c>
      <c r="F25" s="4">
        <v>1200</v>
      </c>
      <c r="G25" s="4">
        <v>4000</v>
      </c>
      <c r="H25" s="4">
        <v>1123900</v>
      </c>
      <c r="I25" s="4">
        <f t="shared" si="0"/>
        <v>667900</v>
      </c>
    </row>
    <row r="26" spans="1:9" x14ac:dyDescent="0.25">
      <c r="A26" s="1">
        <v>44293</v>
      </c>
      <c r="B26" t="s">
        <v>4</v>
      </c>
      <c r="C26" t="s">
        <v>17</v>
      </c>
      <c r="D26" t="s">
        <v>25</v>
      </c>
      <c r="E26">
        <v>144</v>
      </c>
      <c r="F26" s="4">
        <v>4000</v>
      </c>
      <c r="G26" s="4">
        <v>3000</v>
      </c>
      <c r="H26" s="4">
        <v>576000</v>
      </c>
      <c r="I26" s="4">
        <f t="shared" ref="I26:I30" si="1">H26-(G26*E26)</f>
        <v>144000</v>
      </c>
    </row>
    <row r="27" spans="1:9" x14ac:dyDescent="0.25">
      <c r="A27" s="1">
        <v>43990</v>
      </c>
      <c r="B27" t="s">
        <v>6</v>
      </c>
      <c r="C27" t="s">
        <v>16</v>
      </c>
      <c r="D27" t="s">
        <v>24</v>
      </c>
      <c r="E27">
        <v>92</v>
      </c>
      <c r="F27" s="4">
        <v>600</v>
      </c>
      <c r="G27" s="4">
        <v>400</v>
      </c>
      <c r="H27" s="4">
        <v>55200</v>
      </c>
      <c r="I27" s="4">
        <f t="shared" si="1"/>
        <v>18400</v>
      </c>
    </row>
    <row r="28" spans="1:9" x14ac:dyDescent="0.25">
      <c r="A28" s="1">
        <v>44551</v>
      </c>
      <c r="B28" t="s">
        <v>9</v>
      </c>
      <c r="C28" t="s">
        <v>14</v>
      </c>
      <c r="D28" t="s">
        <v>19</v>
      </c>
      <c r="E28">
        <v>71</v>
      </c>
      <c r="F28" s="4">
        <v>6000</v>
      </c>
      <c r="G28" s="4">
        <v>4000</v>
      </c>
      <c r="H28" s="4">
        <v>426000</v>
      </c>
      <c r="I28" s="4">
        <f t="shared" si="1"/>
        <v>142000</v>
      </c>
    </row>
    <row r="29" spans="1:9" x14ac:dyDescent="0.25">
      <c r="A29" s="1">
        <v>44418</v>
      </c>
      <c r="B29" t="s">
        <v>2</v>
      </c>
      <c r="C29" t="s">
        <v>15</v>
      </c>
      <c r="D29" t="s">
        <v>24</v>
      </c>
      <c r="E29">
        <v>103</v>
      </c>
      <c r="F29" s="4">
        <v>600</v>
      </c>
      <c r="G29" s="4">
        <v>400</v>
      </c>
      <c r="H29" s="4">
        <v>61800</v>
      </c>
      <c r="I29" s="4">
        <f t="shared" si="1"/>
        <v>20600</v>
      </c>
    </row>
    <row r="30" spans="1:9" x14ac:dyDescent="0.25">
      <c r="A30" s="1">
        <v>44058</v>
      </c>
      <c r="B30" t="s">
        <v>9</v>
      </c>
      <c r="C30" t="s">
        <v>15</v>
      </c>
      <c r="D30" t="s">
        <v>19</v>
      </c>
      <c r="E30">
        <v>114</v>
      </c>
      <c r="F30" s="4">
        <v>1200</v>
      </c>
      <c r="G30" s="4">
        <v>4000</v>
      </c>
      <c r="H30" s="4">
        <v>1123900</v>
      </c>
      <c r="I30" s="4">
        <f t="shared" si="1"/>
        <v>667900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449C0F-3234-4FFB-B70C-DC123E3617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Table3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Kadarkarai Thangaraj</dc:creator>
  <cp:lastModifiedBy>Kadarkarai Thangaraj</cp:lastModifiedBy>
  <dcterms:created xsi:type="dcterms:W3CDTF">2026-02-08T15:58:54Z</dcterms:created>
  <dcterms:modified xsi:type="dcterms:W3CDTF">2026-03-29T15:36:16Z</dcterms:modified>
</cp:coreProperties>
</file>